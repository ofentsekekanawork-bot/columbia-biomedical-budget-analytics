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8fb3df924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546eb36c0b5343d2"/>
    <x:sheet xmlns:r="http://schemas.openxmlformats.org/officeDocument/2006/relationships" name="01_Assumptions" sheetId="2" r:id="R7282af57b9be460d"/>
    <x:sheet xmlns:r="http://schemas.openxmlformats.org/officeDocument/2006/relationships" name="02_Raw_Data" sheetId="3" r:id="R73cd2b91c4f74fb7"/>
    <x:sheet xmlns:r="http://schemas.openxmlformats.org/officeDocument/2006/relationships" name="03_SQL_Schema" sheetId="4" r:id="R16db9a1e5e3b4019"/>
    <x:sheet xmlns:r="http://schemas.openxmlformats.org/officeDocument/2006/relationships" name="04_SQL_Queries" sheetId="5" r:id="R53e5f58aae744ce9"/>
    <x:sheet xmlns:r="http://schemas.openxmlformats.org/officeDocument/2006/relationships" name="05_Analysis" sheetId="6" r:id="Re3917f23c6804d3e"/>
    <x:sheet xmlns:r="http://schemas.openxmlformats.org/officeDocument/2006/relationships" name="06_Grant_Tracker" sheetId="7" r:id="Rae2a068e22c14b33"/>
    <x:sheet xmlns:r="http://schemas.openxmlformats.org/officeDocument/2006/relationships" name="07_Dashboard" sheetId="8" r:id="R54ba37edf5a0438d"/>
    <x:sheet xmlns:r="http://schemas.openxmlformats.org/officeDocument/2006/relationships" name="08_Portfolio_Story" sheetId="9" r:id="R8eddaf6b507e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;[Red]($#,##0);-"/>
    <x:numFmt numFmtId="202" formatCode="yyyy-mm-dd"/>
  </x:numFmts>
  <x:fonts count="8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0"/>
      <x:name val="Aptos"/>
    </x:font>
    <x:font>
      <x:b/>
      <x:sz val="14"/>
      <x:color rgb="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163B6D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2" fillId="2" borderId="0" xfId="0" applyNumberFormat="1" applyFont="1" applyFill="1" applyBorder="1"/>
    <x:xf numFmtId="201" fontId="2" fillId="2" borderId="1" xfId="0" applyNumberFormat="1" applyFont="1" applyFill="1" applyBorder="1"/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wrapText="1"/>
    </x:xf>
    <x:xf numFmtId="0" fontId="6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wrapText="1"/>
    </x:xf>
    <x:xf numFmtId="0" fontId="6" fillId="3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0" fontId="4" fillId="2" borderId="0" xfId="0" applyNumberFormat="1" applyFont="1" applyFill="1" applyBorder="1"/>
    <x:xf numFmtId="201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1" xfId="0" applyNumberFormat="1" applyFont="1" applyFill="1" applyBorder="1"/>
    <x:xf numFmtId="201" fontId="4" fillId="2" borderId="1" xfId="0" applyNumberFormat="1" applyFont="1" applyFill="1" applyBorder="1"/>
    <x:xf numFmtId="200" fontId="4" fillId="2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 applyAlignment="1">
      <x:alignment horizontal="left"/>
    </x:xf>
    <x:xf numFmtId="0" fontId="7" fillId="2" borderId="1" xfId="0" applyNumberFormat="1" applyFont="1" applyFill="1" applyBorder="1" applyAlignment="1">
      <x:alignment horizontal="left" wrapText="1"/>
    </x:xf>
    <x:xf numFmtId="0" fontId="7" fillId="2" borderId="1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4CCCC"/>
        </x:patternFill>
      </x:fill>
    </x:dxf>
    <x:dxf>
      <x:fill>
        <x:patternFill>
          <x:bgColor rgb="FFF2CC"/>
        </x:patternFill>
      </x:fill>
    </x:dxf>
    <x:dxf>
      <x:fill>
        <x:patternFill>
          <x:bgColor rgb="F4CCCC"/>
        </x:patternFill>
      </x:fill>
    </x:dxf>
    <x:dxf>
      <x:fill>
        <x:patternFill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98c39f0074f1d" /><Relationship Type="http://schemas.openxmlformats.org/officeDocument/2006/relationships/theme" Target="/xl/theme/theme1.xml" Id="Rc17617c4684345b1" /><Relationship Type="http://schemas.openxmlformats.org/officeDocument/2006/relationships/sharedStrings" Target="/xl/sharedStrings.xml" Id="R6ec1dd2e72aa4fba" /><Relationship Type="http://schemas.openxmlformats.org/officeDocument/2006/relationships/worksheet" Target="/xl/worksheets/sheet1.xml" Id="R546eb36c0b5343d2" /><Relationship Type="http://schemas.openxmlformats.org/officeDocument/2006/relationships/worksheet" Target="/xl/worksheets/sheet2.xml" Id="R7282af57b9be460d" /><Relationship Type="http://schemas.openxmlformats.org/officeDocument/2006/relationships/worksheet" Target="/xl/worksheets/sheet3.xml" Id="R73cd2b91c4f74fb7" /><Relationship Type="http://schemas.openxmlformats.org/officeDocument/2006/relationships/worksheet" Target="/xl/worksheets/sheet4.xml" Id="R16db9a1e5e3b4019" /><Relationship Type="http://schemas.openxmlformats.org/officeDocument/2006/relationships/worksheet" Target="/xl/worksheets/sheet5.xml" Id="R53e5f58aae744ce9" /><Relationship Type="http://schemas.openxmlformats.org/officeDocument/2006/relationships/worksheet" Target="/xl/worksheets/sheet6.xml" Id="Re3917f23c6804d3e" /><Relationship Type="http://schemas.openxmlformats.org/officeDocument/2006/relationships/worksheet" Target="/xl/worksheets/sheet7.xml" Id="Rae2a068e22c14b33" /><Relationship Type="http://schemas.openxmlformats.org/officeDocument/2006/relationships/worksheet" Target="/xl/worksheets/sheet8.xml" Id="R54ba37edf5a0438d" /><Relationship Type="http://schemas.openxmlformats.org/officeDocument/2006/relationships/worksheet" Target="/xl/worksheets/sheet9.xml" Id="R8eddaf6b507e41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760b75bea446df" /><Relationship Type="http://schemas.openxmlformats.org/officeDocument/2006/relationships/chart" Target="/xl/drawings/charts/chart2.xml" Id="R243105f8d2154b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Budget vs Actual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cat>
            <c:strRef>
              <c:f>'07_Dashboard'!$A$22:$A$33</c:f>
              <c:strCache>
                <c:ptCount val="0"/>
              </c:strCache>
            </c:strRef>
          </c:cat>
          <c:val>
            <c:numRef>
              <c:f>'07_Dashboard'!$B$22:$B$33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'07_Dashboard'!$A$22:$A$33</c:f>
              <c:strCache>
                <c:ptCount val="0"/>
              </c:strCache>
            </c:strRef>
          </c:cat>
          <c:val>
            <c:numRef>
              <c:f>'07_Dashboard'!$C$22:$C$33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Selected Category Variance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Annual Budget</c:v>
          </c:tx>
          <c:cat>
            <c:strRef>
              <c:f>'07_Dashboard'!$B$12:$B$18</c:f>
              <c:strCache>
                <c:ptCount val="0"/>
              </c:strCache>
            </c:strRef>
          </c:cat>
          <c:val>
            <c:numRef>
              <c:f>'07_Dashboard'!$C$12:$C$18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Actual Spend</c:v>
          </c:tx>
          <c:cat>
            <c:strRef>
              <c:f>'07_Dashboard'!$B$12:$B$18</c:f>
              <c:strCache>
                <c:ptCount val="0"/>
              </c:strCache>
            </c:strRef>
          </c:cat>
          <c:val>
            <c:numRef>
              <c:f>'07_Dashboard'!$D$12:$D$18</c:f>
              <c:numCache>
                <c:formatCode>$#,##0;[Red]($#,##0);-</c:formatCode>
                <c:ptCount val="0"/>
              </c:numCache>
            </c:numRef>
          </c:val>
        </c:ser>
        <c:ser>
          <c:idx val="2"/>
          <c:order val="2"/>
          <c:tx>
            <c:v>Variance $</c:v>
          </c:tx>
          <c:cat>
            <c:strRef>
              <c:f>'07_Dashboard'!$B$12:$B$18</c:f>
              <c:strCache>
                <c:ptCount val="0"/>
              </c:strCache>
            </c:strRef>
          </c:cat>
          <c:val>
            <c:numRef>
              <c:f>'07_Dashboard'!$E$12:$E$18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760b75bea446df"/>
        </a:graphicData>
      </a:graphic>
    </xdr:graphicFrame>
    <xdr:clientData/>
  </xdr:twoCellAnchor>
  <xdr:twoCellAnchor>
    <xdr:from>
      <xdr:col>5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3105f8d2154b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imMonth" displayName="DimMonth" ref="A3:C15" headerRowCount="1">
  <x:tableColumns count="3">
    <x:tableColumn id="1" name="month_start_date"/>
    <x:tableColumn id="2" name="month_name"/>
    <x:tableColumn id="3" name="fiscal_month_number"/>
  </x:tableColumns>
  <x:tableStyleInfo name="TableStyleMedium2" showRowStripes="1"/>
</x:table>
</file>

<file path=xl/tables/table2.xml><?xml version="1.0" encoding="utf-8"?>
<x:table xmlns:x="http://schemas.openxmlformats.org/spreadsheetml/2006/main" id="2" name="DimCostCategory" displayName="DimCostCategory" ref="A19:D38" headerRowCount="1">
  <x:tableColumns count="4">
    <x:tableColumn id="1" name="category_id"/>
    <x:tableColumn id="2" name="category_name"/>
    <x:tableColumn id="3" name="cost_group"/>
    <x:tableColumn id="4" name="phasing_method"/>
  </x:tableColumns>
  <x:tableStyleInfo name="TableStyleMedium2" showRowStripes="1"/>
</x:table>
</file>

<file path=xl/tables/table3.xml><?xml version="1.0" encoding="utf-8"?>
<x:table xmlns:x="http://schemas.openxmlformats.org/spreadsheetml/2006/main" id="3" name="DimGrant" displayName="DimGrant" ref="F3:M10" headerRowCount="1">
  <x:tableColumns count="8">
    <x:tableColumn id="1" name="grant_id"/>
    <x:tableColumn id="2" name="award_title"/>
    <x:tableColumn id="3" name="principal_investigator"/>
    <x:tableColumn id="4" name="funding_agency"/>
    <x:tableColumn id="5" name="award_start_date"/>
    <x:tableColumn id="6" name="award_end_date"/>
    <x:tableColumn id="7" name="total_award"/>
    <x:tableColumn id="8" name="fy2025_budget"/>
  </x:tableColumns>
  <x:tableStyleInfo name="TableStyleMedium2" showRowStripes="1"/>
</x:table>
</file>

<file path=xl/tables/table4.xml><?xml version="1.0" encoding="utf-8"?>
<x:table xmlns:x="http://schemas.openxmlformats.org/spreadsheetml/2006/main" id="4" name="DimPersonnel" displayName="DimPersonnel" ref="F14:O24" headerRowCount="1">
  <x:tableColumns count="10">
    <x:tableColumn id="1" name="employee_id"/>
    <x:tableColumn id="2" name="employee_name"/>
    <x:tableColumn id="3" name="title_role"/>
    <x:tableColumn id="4" name="department"/>
    <x:tableColumn id="5" name="fte"/>
    <x:tableColumn id="6" name="base_salary"/>
    <x:tableColumn id="7" name="merit_rate"/>
    <x:tableColumn id="8" name="benefits_rate"/>
    <x:tableColumn id="9" name="pension_rate"/>
    <x:tableColumn id="10" name="bonus_rate"/>
  </x:tableColumns>
  <x:tableStyleInfo name="TableStyleMedium2" showRowStripes="1"/>
</x:table>
</file>

<file path=xl/tables/table5.xml><?xml version="1.0" encoding="utf-8"?>
<x:table xmlns:x="http://schemas.openxmlformats.org/spreadsheetml/2006/main" id="5" name="FactBudget" displayName="FactBudget" ref="A50:C278" headerRowCount="1">
  <x:tableColumns count="3">
    <x:tableColumn id="1" name="month_start_date"/>
    <x:tableColumn id="2" name="category_id"/>
    <x:tableColumn id="3" name="budget_amount"/>
  </x:tableColumns>
  <x:tableStyleInfo name="TableStyleMedium2" showRowStripes="1"/>
</x:table>
</file>

<file path=xl/tables/table6.xml><?xml version="1.0" encoding="utf-8"?>
<x:table xmlns:x="http://schemas.openxmlformats.org/spreadsheetml/2006/main" id="6" name="FactActualExpense" displayName="FactActualExpense" ref="F50:J725" headerRowCount="1">
  <x:tableColumns count="5">
    <x:tableColumn id="1" name="expense_id"/>
    <x:tableColumn id="2" name="month_start_date"/>
    <x:tableColumn id="3" name="grant_id"/>
    <x:tableColumn id="4" name="category_id"/>
    <x:tableColumn id="5" name="actual_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1403a12591e42cc" /><Relationship Type="http://schemas.openxmlformats.org/officeDocument/2006/relationships/table" Target="/xl/tables/table2.xml" Id="Re4414a60a89e4d69" /><Relationship Type="http://schemas.openxmlformats.org/officeDocument/2006/relationships/table" Target="/xl/tables/table3.xml" Id="R14688c03e752447d" /><Relationship Type="http://schemas.openxmlformats.org/officeDocument/2006/relationships/table" Target="/xl/tables/table4.xml" Id="R7b8fc1b102e44294" /><Relationship Type="http://schemas.openxmlformats.org/officeDocument/2006/relationships/table" Target="/xl/tables/table5.xml" Id="R2578435f5e3d4d98" /><Relationship Type="http://schemas.openxmlformats.org/officeDocument/2006/relationships/table" Target="/xl/tables/table6.xml" Id="R61aceeba754c4c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2ce91d651a4e476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66" t="str">
        <x:v>Columbia Biomedical Research Budget Analytics — End-to-End Portfolio Project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>
      <x:c r="A3" s="40" t="str">
        <x:v>What this is</x:v>
      </x:c>
      <x:c r="B3" s="41" t="str">
        <x:v>A full finance/data analytics portfolio project built around a biomedical research budget model.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>
      <x:c r="A4" s="42" t="str">
        <x:v>Business problem</x:v>
      </x:c>
      <x:c r="B4" s="43" t="str">
        <x:v>Track FY2025 research spending, identify budget variances, monitor grant burn rate, and recommend actions.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</x:row>
    <x:row r="5">
      <x:c r="A5" s="42" t="str">
        <x:v>Your role</x:v>
      </x:c>
      <x:c r="B5" s="43" t="str">
        <x:v>Financial Analyst / Data Analyst supporting institutional research finance.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</x:row>
    <x:row r="6">
      <x:c r="A6" s="42" t="str">
        <x:v>Tools shown</x:v>
      </x:c>
      <x:c r="B6" s="43" t="str">
        <x:v>Excel financial modeling, SQL data modeling, variance analysis, grant tracking, Power BI-ready outputs.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</x:row>
    <x:row r="7">
      <x:c r="A7" s="42" t="str">
        <x:v>Dataset type</x:v>
      </x:c>
      <x:c r="B7" s="43" t="str">
        <x:v>Simulated but realistic portfolio data for a university biomedical research department.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</x:row>
    <x:row r="8">
      <x:c r="A8" s="42" t="str">
        <x:v>Workflow</x:v>
      </x:c>
      <x:c r="B8" s="43" t="str">
        <x:v>Assumptions → Raw Data → SQL Schema → SQL Queries → Analysis → Dashboard → Portfolio Story.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</x:row>
    <x:row r="9">
      <x:c r="A9" s="42" t="str">
        <x:v>How to use</x:v>
      </x:c>
      <x:c r="B9" s="43" t="str">
        <x:v>Review the Dashboard and Analysis tabs first, then use Raw_Data + SQL tabs to build Power BI.</x:v>
      </x:c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</x:row>
    <x:row r="10">
      <x:c r="A10" s="42" t="str">
        <x:v>Important note</x:v>
      </x:c>
      <x:c r="B10" s="43" t="str">
        <x:v>This is a portfolio project. It is not official Columbia data and should be described as a simulated model.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</x:row>
    <x:row r="11">
      <x:c r="A11" s="42" t="str">
        <x:v>Best LinkedIn description</x:v>
      </x:c>
      <x:c r="B11" s="43" t="str">
        <x:v>Built a simulated biomedical research budget analytics project using Excel, SQL, and Power BI-ready data.</x:v>
      </x:c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</x:row>
    <x:row r="12">
      <x:c r="A12" s="42" t="str">
        <x:v>Next step</x:v>
      </x:c>
      <x:c r="B12" s="43" t="str">
        <x:v>Load the tables from 02_Raw_Data into Power BI and recreate the dashboard visuals.</x:v>
      </x:c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</x:row>
    <x:row r="13">
      <x:c r="A13" s="42" t="str">
        <x:v>File owner</x:v>
      </x:c>
      <x:c r="B13" s="43" t="str">
        <x:v>Ofentse Kekana — Financial Analyst Portfolio Project</x:v>
      </x:c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.380001068115234" hidden="0" customWidth="1"/>
    <x:col min="2" max="2" width="6.730000019073486" hidden="0" customWidth="1"/>
    <x:col min="3" max="3" width="41.59000015258789" hidden="0" customWidth="1"/>
    <x:col min="4" max="4" width="19.3799991607666" hidden="0" customWidth="1"/>
  </x:cols>
  <x:sheetData>
    <x:row r="1">
      <x:c r="A1" s="72" t="str">
        <x:v>Budget Assumptions &amp; Drivers — FY2025</x:v>
      </x:c>
      <x:c r="B1" s="72"/>
      <x:c r="C1" s="72"/>
      <x:c r="D1" s="72"/>
      <x:c r="E1" s="73"/>
      <x:c r="F1" s="73"/>
      <x:c r="G1" s="73"/>
      <x:c r="H1" s="73"/>
      <x:c r="I1" s="70"/>
      <x:c r="J1" s="70"/>
      <x:c r="K1" s="70"/>
      <x:c r="L1" s="70"/>
      <x:c r="M1" s="70"/>
      <x:c r="N1" s="70"/>
      <x:c r="O1" s="70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>
      <x:c r="A3" s="51" t="str">
        <x:v>Personnel Assumption</x:v>
      </x:c>
      <x:c r="B3" s="51" t="str">
        <x:v>Value</x:v>
      </x:c>
      <x:c r="C3" s="51" t="str">
        <x:v>Notes</x:v>
      </x:c>
      <x:c r="D3" s="51" t="str">
        <x:v>Source Type</x:v>
      </x:c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>
      <x:c r="A4" s="39" t="str">
        <x:v>Annual Merit Increase</x:v>
      </x:c>
      <x:c r="B4" s="52" t="n">
        <x:v>0.03</x:v>
      </x:c>
      <x:c r="C4" s="39" t="str">
        <x:v>Applied to eligible staff salaries</x:v>
      </x:c>
      <x:c r="D4" s="39" t="str">
        <x:v>Simulated / model input</x:v>
      </x:c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</x:row>
    <x:row r="5">
      <x:c r="A5" s="39" t="str">
        <x:v>Employer Benefits Rate FT</x:v>
      </x:c>
      <x:c r="B5" s="52" t="n">
        <x:v>0.285</x:v>
      </x:c>
      <x:c r="C5" s="39" t="str">
        <x:v>Full-time employee benefits load</x:v>
      </x:c>
      <x:c r="D5" s="39" t="str">
        <x:v>Simulated / model input</x:v>
      </x:c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</x:row>
    <x:row r="6">
      <x:c r="A6" s="39" t="str">
        <x:v>Employer Benefits Rate PT</x:v>
      </x:c>
      <x:c r="B6" s="52" t="n">
        <x:v>0.155</x:v>
      </x:c>
      <x:c r="C6" s="39" t="str">
        <x:v>Part-time employee benefits load</x:v>
      </x:c>
      <x:c r="D6" s="39" t="str">
        <x:v>Simulated / model input</x:v>
      </x:c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</x:row>
    <x:row r="7">
      <x:c r="A7" s="39" t="str">
        <x:v>Pension Match Rate</x:v>
      </x:c>
      <x:c r="B7" s="52" t="n">
        <x:v>0.08</x:v>
      </x:c>
      <x:c r="C7" s="39" t="str">
        <x:v>Employer retirement contribution</x:v>
      </x:c>
      <x:c r="D7" s="39" t="str">
        <x:v>Simulated / model input</x:v>
      </x:c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</x:row>
    <x:row r="8">
      <x:c r="A8" s="39" t="str">
        <x:v>Bonus Provision</x:v>
      </x:c>
      <x:c r="B8" s="52" t="n">
        <x:v>0</x:v>
      </x:c>
      <x:c r="C8" s="39" t="str">
        <x:v>Not applied to research staff grades 1–4</x:v>
      </x:c>
      <x:c r="D8" s="39" t="str">
        <x:v>Simulated / model input</x:v>
      </x:c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</x:row>
    <x:row r="9">
      <x:c r="A9" s="39" t="str">
        <x:v>Indirect Cost Rate F&amp;A</x:v>
      </x:c>
      <x:c r="B9" s="52" t="n">
        <x:v>0.265</x:v>
      </x:c>
      <x:c r="C9" s="39" t="str">
        <x:v>Applied to direct costs</x:v>
      </x:c>
      <x:c r="D9" s="39" t="str">
        <x:v>Simulated / model input</x:v>
      </x:c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</x:row>
    <x:row r="10">
      <x:c r="A10" s="39" t="str">
        <x:v>Contingency Reserve</x:v>
      </x:c>
      <x:c r="B10" s="52" t="n">
        <x:v>0.03</x:v>
      </x:c>
      <x:c r="C10" s="39" t="str">
        <x:v>Reserve allocation for operating risk</x:v>
      </x:c>
      <x:c r="D10" s="39" t="str">
        <x:v>Simulated / model input</x:v>
      </x:c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</x:row>
    <x:row r="12">
      <x:c r="A12" s="51" t="str">
        <x:v>Operating Cost Driver</x:v>
      </x:c>
      <x:c r="B12" s="51" t="str">
        <x:v>Value</x:v>
      </x:c>
      <x:c r="C12" s="51" t="str">
        <x:v>Notes</x:v>
      </x:c>
      <x:c r="D12" s="51" t="str">
        <x:v>Source Type</x:v>
      </x:c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</x:row>
    <x:row r="13">
      <x:c r="A13" s="39" t="str">
        <x:v>Lab Supplies Escalation</x:v>
      </x:c>
      <x:c r="B13" s="52" t="n">
        <x:v>0.025</x:v>
      </x:c>
      <x:c r="C13" s="39" t="str">
        <x:v>Estimated supply inflation</x:v>
      </x:c>
      <x:c r="D13" s="39" t="str">
        <x:v>Simulated / model input</x:v>
      </x:c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</x:row>
    <x:row r="14">
      <x:c r="A14" s="39" t="str">
        <x:v>Travel Cost Escalation</x:v>
      </x:c>
      <x:c r="B14" s="52" t="n">
        <x:v>0.04</x:v>
      </x:c>
      <x:c r="C14" s="39" t="str">
        <x:v>Higher travel and conference costs</x:v>
      </x:c>
      <x:c r="D14" s="39" t="str">
        <x:v>Simulated / model input</x:v>
      </x:c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</x:row>
    <x:row r="15">
      <x:c r="A15" s="39" t="str">
        <x:v>Equipment Capitalization Floor</x:v>
      </x:c>
      <x:c r="B15" s="53" t="n">
        <x:v>5000</x:v>
      </x:c>
      <x:c r="C15" s="39" t="str">
        <x:v>Items below threshold treated as operating expense</x:v>
      </x:c>
      <x:c r="D15" s="39" t="str">
        <x:v>Simulated / model input</x:v>
      </x:c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</x:row>
    <x:row r="16">
      <x:c r="A16" s="39" t="str">
        <x:v>Reporting Frequency</x:v>
      </x:c>
      <x:c r="B16" s="39" t="str">
        <x:v>Monthly</x:v>
      </x:c>
      <x:c r="C16" s="39" t="str">
        <x:v>Budget vs actual review cadence</x:v>
      </x:c>
      <x:c r="D16" s="39" t="str">
        <x:v>Model setup</x:v>
      </x:c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</x:row>
    <x:row r="17">
      <x:c r="A17" s="39" t="str">
        <x:v>Fiscal Year Start</x:v>
      </x:c>
      <x:c r="B17" s="39" t="n">
        <x:v>45839</x:v>
      </x:c>
      <x:c r="C17" s="39" t="str">
        <x:v>University fiscal year convention</x:v>
      </x:c>
      <x:c r="D17" s="39" t="str">
        <x:v>Model setup</x:v>
      </x:c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</x:row>
    <x:row r="18">
      <x:c r="A18" s="39" t="str">
        <x:v>Fiscal Year End</x:v>
      </x:c>
      <x:c r="B18" s="39" t="n">
        <x:v>46203</x:v>
      </x:c>
      <x:c r="C18" s="39" t="str">
        <x:v>12-month budget period</x:v>
      </x:c>
      <x:c r="D18" s="39" t="str">
        <x:v>Model setup</x:v>
      </x:c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3.650001525878906" hidden="0" customWidth="1"/>
    <x:col min="2" max="2" width="27.59000015258789" hidden="0" customWidth="1"/>
    <x:col min="3" max="3" width="20.729999542236328" hidden="0" customWidth="1"/>
    <x:col min="4" max="4" width="16.420000076293945" hidden="0" customWidth="1"/>
    <x:col min="6" max="6" width="13.1899995803833" hidden="0" customWidth="1"/>
    <x:col min="7" max="7" width="22.75" hidden="0" customWidth="1"/>
    <x:col min="8" max="8" width="23.280000686645508" hidden="0" customWidth="1"/>
    <x:col min="9" max="9" width="15.609999656677246" hidden="0" customWidth="1"/>
    <x:col min="10" max="10" width="17.09000015258789" hidden="0" customWidth="1"/>
    <x:col min="11" max="11" width="16.420000076293945" hidden="0" customWidth="1"/>
    <x:col min="12" max="12" width="12.520000457763672" hidden="0" customWidth="1"/>
    <x:col min="13" max="13" width="14.9399995803833" hidden="0" customWidth="1"/>
    <x:col min="14" max="14" width="13.319999694824219" hidden="0" customWidth="1"/>
    <x:col min="15" max="15" width="11.84000015258789" hidden="0" customWidth="1"/>
  </x:cols>
  <x:sheetData>
    <x:row r="1">
      <x:c r="A1" s="72" t="str">
        <x:v>Raw Data Tables — Power BI / SQL Ready</x:v>
      </x:c>
      <x:c r="B1" s="72"/>
      <x:c r="C1" s="72"/>
      <x:c r="D1" s="72"/>
      <x:c r="E1" s="72"/>
      <x:c r="F1" s="72"/>
      <x:c r="G1" s="72"/>
      <x:c r="H1" s="72"/>
      <x:c r="I1" s="78"/>
      <x:c r="J1" s="78"/>
      <x:c r="K1" s="78"/>
      <x:c r="L1" s="78"/>
      <x:c r="M1" s="78"/>
      <x:c r="N1" s="78"/>
      <x:c r="O1" s="78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>
      <x:c r="A3" s="51" t="str">
        <x:v>month_start_date</x:v>
      </x:c>
      <x:c r="B3" s="51" t="str">
        <x:v>month_name</x:v>
      </x:c>
      <x:c r="C3" s="51" t="str">
        <x:v>fiscal_month_number</x:v>
      </x:c>
      <x:c r="D3" s="39"/>
      <x:c r="E3" s="39"/>
      <x:c r="F3" s="51" t="str">
        <x:v>grant_id</x:v>
      </x:c>
      <x:c r="G3" s="51" t="str">
        <x:v>award_title</x:v>
      </x:c>
      <x:c r="H3" s="51" t="str">
        <x:v>principal_investigator</x:v>
      </x:c>
      <x:c r="I3" s="51" t="str">
        <x:v>funding_agency</x:v>
      </x:c>
      <x:c r="J3" s="51" t="str">
        <x:v>award_start_date</x:v>
      </x:c>
      <x:c r="K3" s="51" t="str">
        <x:v>award_end_date</x:v>
      </x:c>
      <x:c r="L3" s="51" t="str">
        <x:v>total_award</x:v>
      </x:c>
      <x:c r="M3" s="51" t="str">
        <x:v>fy2025_budget</x:v>
      </x:c>
      <x:c r="N3" s="39"/>
      <x:c r="O3" s="39"/>
    </x:row>
    <x:row r="4">
      <x:c r="A4" s="39" t="n">
        <x:v>45839</x:v>
      </x:c>
      <x:c r="B4" s="39" t="str">
        <x:v>Jul</x:v>
      </x:c>
      <x:c r="C4" s="39" t="n">
        <x:v>1</x:v>
      </x:c>
      <x:c r="D4" s="39"/>
      <x:c r="E4" s="39"/>
      <x:c r="F4" s="39" t="str">
        <x:v>R01-HL145821</x:v>
      </x:c>
      <x:c r="G4" s="39" t="str">
        <x:v>Cardiac Biomarker Discovery</x:v>
      </x:c>
      <x:c r="H4" s="39" t="str">
        <x:v>Dr. Sarah Chen</x:v>
      </x:c>
      <x:c r="I4" s="39" t="str">
        <x:v>NIH/NHLBI</x:v>
      </x:c>
      <x:c r="J4" s="58" t="n">
        <x:v>44805</x:v>
      </x:c>
      <x:c r="K4" s="58" t="n">
        <x:v>46630</x:v>
      </x:c>
      <x:c r="L4" s="53" t="n">
        <x:v>2850000</x:v>
      </x:c>
      <x:c r="M4" s="53" t="n">
        <x:v>485000</x:v>
      </x:c>
      <x:c r="N4" s="39"/>
      <x:c r="O4" s="39"/>
    </x:row>
    <x:row r="5">
      <x:c r="A5" s="39" t="n">
        <x:v>45870</x:v>
      </x:c>
      <x:c r="B5" s="39" t="str">
        <x:v>Aug</x:v>
      </x:c>
      <x:c r="C5" s="39" t="n">
        <x:v>2</x:v>
      </x:c>
      <x:c r="D5" s="39"/>
      <x:c r="E5" s="39"/>
      <x:c r="F5" s="39" t="str">
        <x:v>R01-CA198765</x:v>
      </x:c>
      <x:c r="G5" s="39" t="str">
        <x:v>Oncology Pathway Analysis</x:v>
      </x:c>
      <x:c r="H5" s="39" t="str">
        <x:v>Dr. Marcus Webb</x:v>
      </x:c>
      <x:c r="I5" s="39" t="str">
        <x:v>NIH/NCI</x:v>
      </x:c>
      <x:c r="J5" s="58" t="n">
        <x:v>44348</x:v>
      </x:c>
      <x:c r="K5" s="58" t="n">
        <x:v>46173</x:v>
      </x:c>
      <x:c r="L5" s="53" t="n">
        <x:v>1950000</x:v>
      </x:c>
      <x:c r="M5" s="53" t="n">
        <x:v>375000</x:v>
      </x:c>
      <x:c r="N5" s="39"/>
      <x:c r="O5" s="39"/>
    </x:row>
    <x:row r="6">
      <x:c r="A6" s="39" t="n">
        <x:v>45901</x:v>
      </x:c>
      <x:c r="B6" s="39" t="str">
        <x:v>Sep</x:v>
      </x:c>
      <x:c r="C6" s="39" t="n">
        <x:v>3</x:v>
      </x:c>
      <x:c r="D6" s="39"/>
      <x:c r="E6" s="39"/>
      <x:c r="F6" s="39" t="str">
        <x:v>K99-AG054321</x:v>
      </x:c>
      <x:c r="G6" s="39" t="str">
        <x:v>Aging &amp; Neuroplasticity</x:v>
      </x:c>
      <x:c r="H6" s="39" t="str">
        <x:v>Dr. Priya Nair</x:v>
      </x:c>
      <x:c r="I6" s="39" t="str">
        <x:v>NIH/NIA</x:v>
      </x:c>
      <x:c r="J6" s="58" t="n">
        <x:v>44927</x:v>
      </x:c>
      <x:c r="K6" s="58" t="n">
        <x:v>46022</x:v>
      </x:c>
      <x:c r="L6" s="53" t="n">
        <x:v>485000</x:v>
      </x:c>
      <x:c r="M6" s="53" t="n">
        <x:v>145000</x:v>
      </x:c>
      <x:c r="N6" s="39"/>
      <x:c r="O6" s="39"/>
    </x:row>
    <x:row r="7">
      <x:c r="A7" s="39" t="n">
        <x:v>45931</x:v>
      </x:c>
      <x:c r="B7" s="39" t="str">
        <x:v>Oct</x:v>
      </x:c>
      <x:c r="C7" s="39" t="n">
        <x:v>4</x:v>
      </x:c>
      <x:c r="D7" s="39"/>
      <x:c r="E7" s="39"/>
      <x:c r="F7" s="39" t="str">
        <x:v>NSF-2234567</x:v>
      </x:c>
      <x:c r="G7" s="39" t="str">
        <x:v>Computational Bio Methods</x:v>
      </x:c>
      <x:c r="H7" s="39" t="str">
        <x:v>Dr. James Okafor</x:v>
      </x:c>
      <x:c r="I7" s="39" t="str">
        <x:v>NSF</x:v>
      </x:c>
      <x:c r="J7" s="58" t="n">
        <x:v>44621</x:v>
      </x:c>
      <x:c r="K7" s="58" t="n">
        <x:v>45716</x:v>
      </x:c>
      <x:c r="L7" s="53" t="n">
        <x:v>620000</x:v>
      </x:c>
      <x:c r="M7" s="53" t="n">
        <x:v>165000</x:v>
      </x:c>
      <x:c r="N7" s="39"/>
      <x:c r="O7" s="39"/>
    </x:row>
    <x:row r="8">
      <x:c r="A8" s="39" t="n">
        <x:v>45962</x:v>
      </x:c>
      <x:c r="B8" s="39" t="str">
        <x:v>Nov</x:v>
      </x:c>
      <x:c r="C8" s="39" t="n">
        <x:v>5</x:v>
      </x:c>
      <x:c r="D8" s="39"/>
      <x:c r="E8" s="39"/>
      <x:c r="F8" s="39" t="str">
        <x:v>PCORI-12345</x:v>
      </x:c>
      <x:c r="G8" s="39" t="str">
        <x:v>Patient Outcomes Research</x:v>
      </x:c>
      <x:c r="H8" s="39" t="str">
        <x:v>Dr. Sarah Chen</x:v>
      </x:c>
      <x:c r="I8" s="39" t="str">
        <x:v>PCORI</x:v>
      </x:c>
      <x:c r="J8" s="58" t="n">
        <x:v>45108</x:v>
      </x:c>
      <x:c r="K8" s="58" t="n">
        <x:v>46203</x:v>
      </x:c>
      <x:c r="L8" s="53" t="n">
        <x:v>730000</x:v>
      </x:c>
      <x:c r="M8" s="53" t="n">
        <x:v>220000</x:v>
      </x:c>
      <x:c r="N8" s="39"/>
      <x:c r="O8" s="39"/>
    </x:row>
    <x:row r="9">
      <x:c r="A9" s="39" t="n">
        <x:v>45992</x:v>
      </x:c>
      <x:c r="B9" s="39" t="str">
        <x:v>Dec</x:v>
      </x:c>
      <x:c r="C9" s="39" t="n">
        <x:v>6</x:v>
      </x:c>
      <x:c r="D9" s="39"/>
      <x:c r="E9" s="39"/>
      <x:c r="F9" s="39" t="str">
        <x:v>FDTN-CZ-891</x:v>
      </x:c>
      <x:c r="G9" s="39" t="str">
        <x:v>Pediatric Research Initiative</x:v>
      </x:c>
      <x:c r="H9" s="39" t="str">
        <x:v>Dr. Elena Vasquez</x:v>
      </x:c>
      <x:c r="I9" s="39" t="str">
        <x:v>Chan Zuckerberg</x:v>
      </x:c>
      <x:c r="J9" s="58" t="n">
        <x:v>45292</x:v>
      </x:c>
      <x:c r="K9" s="58" t="n">
        <x:v>46387</x:v>
      </x:c>
      <x:c r="L9" s="53" t="n">
        <x:v>500000</x:v>
      </x:c>
      <x:c r="M9" s="53" t="n">
        <x:v>180000</x:v>
      </x:c>
      <x:c r="N9" s="39"/>
      <x:c r="O9" s="39"/>
    </x:row>
    <x:row r="10">
      <x:c r="A10" s="39" t="n">
        <x:v>46023</x:v>
      </x:c>
      <x:c r="B10" s="39" t="str">
        <x:v>Jan</x:v>
      </x:c>
      <x:c r="C10" s="39" t="n">
        <x:v>7</x:v>
      </x:c>
      <x:c r="D10" s="39"/>
      <x:c r="E10" s="39"/>
      <x:c r="F10" s="39" t="str">
        <x:v>DOD-W81XWH</x:v>
      </x:c>
      <x:c r="G10" s="39" t="str">
        <x:v>Defense Medical Research</x:v>
      </x:c>
      <x:c r="H10" s="39" t="str">
        <x:v>Lab Team</x:v>
      </x:c>
      <x:c r="I10" s="39" t="str">
        <x:v>DoD/CDMRP</x:v>
      </x:c>
      <x:c r="J10" s="58" t="n">
        <x:v>45017</x:v>
      </x:c>
      <x:c r="K10" s="58" t="n">
        <x:v>46112</x:v>
      </x:c>
      <x:c r="L10" s="53" t="n">
        <x:v>425000</x:v>
      </x:c>
      <x:c r="M10" s="53" t="n">
        <x:v>125000</x:v>
      </x:c>
      <x:c r="N10" s="39"/>
      <x:c r="O10" s="39"/>
    </x:row>
    <x:row r="11">
      <x:c r="A11" s="39" t="n">
        <x:v>46054</x:v>
      </x:c>
      <x:c r="B11" s="39" t="str">
        <x:v>Feb</x:v>
      </x:c>
      <x:c r="C11" s="39" t="n">
        <x:v>8</x:v>
      </x:c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</x:row>
    <x:row r="12">
      <x:c r="A12" s="39" t="n">
        <x:v>46082</x:v>
      </x:c>
      <x:c r="B12" s="39" t="str">
        <x:v>Mar</x:v>
      </x:c>
      <x:c r="C12" s="39" t="n">
        <x:v>9</x:v>
      </x:c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</x:row>
    <x:row r="13">
      <x:c r="A13" s="39" t="n">
        <x:v>46113</x:v>
      </x:c>
      <x:c r="B13" s="39" t="str">
        <x:v>Apr</x:v>
      </x:c>
      <x:c r="C13" s="39" t="n">
        <x:v>10</x:v>
      </x:c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</x:row>
    <x:row r="14">
      <x:c r="A14" s="39" t="n">
        <x:v>46143</x:v>
      </x:c>
      <x:c r="B14" s="39" t="str">
        <x:v>May</x:v>
      </x:c>
      <x:c r="C14" s="39" t="n">
        <x:v>11</x:v>
      </x:c>
      <x:c r="D14" s="39"/>
      <x:c r="E14" s="39"/>
      <x:c r="F14" s="51" t="str">
        <x:v>employee_id</x:v>
      </x:c>
      <x:c r="G14" s="51" t="str">
        <x:v>employee_name</x:v>
      </x:c>
      <x:c r="H14" s="51" t="str">
        <x:v>title_role</x:v>
      </x:c>
      <x:c r="I14" s="51" t="str">
        <x:v>department</x:v>
      </x:c>
      <x:c r="J14" s="51" t="str">
        <x:v>fte</x:v>
      </x:c>
      <x:c r="K14" s="51" t="str">
        <x:v>base_salary</x:v>
      </x:c>
      <x:c r="L14" s="51" t="str">
        <x:v>merit_rate</x:v>
      </x:c>
      <x:c r="M14" s="51" t="str">
        <x:v>benefits_rate</x:v>
      </x:c>
      <x:c r="N14" s="51" t="str">
        <x:v>pension_rate</x:v>
      </x:c>
      <x:c r="O14" s="51" t="str">
        <x:v>bonus_rate</x:v>
      </x:c>
    </x:row>
    <x:row r="15">
      <x:c r="A15" s="39" t="n">
        <x:v>46174</x:v>
      </x:c>
      <x:c r="B15" s="39" t="str">
        <x:v>Jun</x:v>
      </x:c>
      <x:c r="C15" s="39" t="n">
        <x:v>12</x:v>
      </x:c>
      <x:c r="D15" s="39"/>
      <x:c r="E15" s="39"/>
      <x:c r="F15" s="39" t="str">
        <x:v>E001</x:v>
      </x:c>
      <x:c r="G15" s="39" t="str">
        <x:v>Dr. Sarah Chen</x:v>
      </x:c>
      <x:c r="H15" s="39" t="str">
        <x:v>Principal Investigator</x:v>
      </x:c>
      <x:c r="I15" s="39" t="str">
        <x:v>Research</x:v>
      </x:c>
      <x:c r="J15" s="52" t="n">
        <x:v>1</x:v>
      </x:c>
      <x:c r="K15" s="53" t="n">
        <x:v>195000</x:v>
      </x:c>
      <x:c r="L15" s="52" t="n">
        <x:v>0.03</x:v>
      </x:c>
      <x:c r="M15" s="52" t="n">
        <x:v>0.285</x:v>
      </x:c>
      <x:c r="N15" s="52" t="n">
        <x:v>0.155</x:v>
      </x:c>
      <x:c r="O15" s="52" t="n">
        <x:v>0.08</x:v>
      </x:c>
    </x:row>
    <x:row r="16">
      <x:c r="A16" s="39"/>
      <x:c r="B16" s="39"/>
      <x:c r="C16" s="39"/>
      <x:c r="D16" s="39"/>
      <x:c r="E16" s="39"/>
      <x:c r="F16" s="39" t="str">
        <x:v>E002</x:v>
      </x:c>
      <x:c r="G16" s="39" t="str">
        <x:v>Dr. Marcus Webb</x:v>
      </x:c>
      <x:c r="H16" s="39" t="str">
        <x:v>Co-Investigator</x:v>
      </x:c>
      <x:c r="I16" s="39" t="str">
        <x:v>Research</x:v>
      </x:c>
      <x:c r="J16" s="52" t="n">
        <x:v>1</x:v>
      </x:c>
      <x:c r="K16" s="53" t="n">
        <x:v>152000</x:v>
      </x:c>
      <x:c r="L16" s="52" t="n">
        <x:v>0.03</x:v>
      </x:c>
      <x:c r="M16" s="52" t="n">
        <x:v>0.285</x:v>
      </x:c>
      <x:c r="N16" s="52" t="n">
        <x:v>0.155</x:v>
      </x:c>
      <x:c r="O16" s="52" t="n">
        <x:v>0.08</x:v>
      </x:c>
    </x:row>
    <x:row r="17">
      <x:c r="A17" s="39"/>
      <x:c r="B17" s="39"/>
      <x:c r="C17" s="39"/>
      <x:c r="D17" s="39"/>
      <x:c r="E17" s="39"/>
      <x:c r="F17" s="39" t="str">
        <x:v>E003</x:v>
      </x:c>
      <x:c r="G17" s="39" t="str">
        <x:v>Dr. Priya Nair</x:v>
      </x:c>
      <x:c r="H17" s="39" t="str">
        <x:v>Postdoctoral Research Fellow</x:v>
      </x:c>
      <x:c r="I17" s="39" t="str">
        <x:v>Research</x:v>
      </x:c>
      <x:c r="J17" s="52" t="n">
        <x:v>1</x:v>
      </x:c>
      <x:c r="K17" s="53" t="n">
        <x:v>62000</x:v>
      </x:c>
      <x:c r="L17" s="52" t="n">
        <x:v>0.03</x:v>
      </x:c>
      <x:c r="M17" s="52" t="n">
        <x:v>0.285</x:v>
      </x:c>
      <x:c r="N17" s="52" t="n">
        <x:v>0.155</x:v>
      </x:c>
      <x:c r="O17" s="52" t="n">
        <x:v>0.08</x:v>
      </x:c>
    </x:row>
    <x:row r="18">
      <x:c r="A18" s="39"/>
      <x:c r="B18" s="39"/>
      <x:c r="C18" s="39"/>
      <x:c r="D18" s="39"/>
      <x:c r="E18" s="39"/>
      <x:c r="F18" s="39" t="str">
        <x:v>E004</x:v>
      </x:c>
      <x:c r="G18" s="39" t="str">
        <x:v>Dr. James Okafor</x:v>
      </x:c>
      <x:c r="H18" s="39" t="str">
        <x:v>Postdoctoral Research Fellow</x:v>
      </x:c>
      <x:c r="I18" s="39" t="str">
        <x:v>Research</x:v>
      </x:c>
      <x:c r="J18" s="52" t="n">
        <x:v>1</x:v>
      </x:c>
      <x:c r="K18" s="53" t="n">
        <x:v>60000</x:v>
      </x:c>
      <x:c r="L18" s="52" t="n">
        <x:v>0.03</x:v>
      </x:c>
      <x:c r="M18" s="52" t="n">
        <x:v>0.285</x:v>
      </x:c>
      <x:c r="N18" s="52" t="n">
        <x:v>0.155</x:v>
      </x:c>
      <x:c r="O18" s="52" t="n">
        <x:v>0.08</x:v>
      </x:c>
    </x:row>
    <x:row r="19">
      <x:c r="A19" s="51" t="str">
        <x:v>category_id</x:v>
      </x:c>
      <x:c r="B19" s="51" t="str">
        <x:v>category_name</x:v>
      </x:c>
      <x:c r="C19" s="51" t="str">
        <x:v>cost_group</x:v>
      </x:c>
      <x:c r="D19" s="51" t="str">
        <x:v>phasing_method</x:v>
      </x:c>
      <x:c r="E19" s="39"/>
      <x:c r="F19" s="39" t="str">
        <x:v>E005</x:v>
      </x:c>
      <x:c r="G19" s="39" t="str">
        <x:v>Maria Santos</x:v>
      </x:c>
      <x:c r="H19" s="39" t="str">
        <x:v>Lab Manager</x:v>
      </x:c>
      <x:c r="I19" s="39" t="str">
        <x:v>Laboratory</x:v>
      </x:c>
      <x:c r="J19" s="52" t="n">
        <x:v>1</x:v>
      </x:c>
      <x:c r="K19" s="53" t="n">
        <x:v>78000</x:v>
      </x:c>
      <x:c r="L19" s="52" t="n">
        <x:v>0.03</x:v>
      </x:c>
      <x:c r="M19" s="52" t="n">
        <x:v>0.285</x:v>
      </x:c>
      <x:c r="N19" s="52" t="n">
        <x:v>0.155</x:v>
      </x:c>
      <x:c r="O19" s="52" t="n">
        <x:v>0.08</x:v>
      </x:c>
    </x:row>
    <x:row r="20">
      <x:c r="A20" s="39" t="str">
        <x:v>PERSONNEL</x:v>
      </x:c>
      <x:c r="B20" s="39" t="str">
        <x:v>Personnel — Total Compensation</x:v>
      </x:c>
      <x:c r="C20" s="39" t="str">
        <x:v>Personnel</x:v>
      </x:c>
      <x:c r="D20" s="39" t="str">
        <x:v>Monthly</x:v>
      </x:c>
      <x:c r="E20" s="39"/>
      <x:c r="F20" s="39" t="str">
        <x:v>E006</x:v>
      </x:c>
      <x:c r="G20" s="39" t="str">
        <x:v>Aisha Thompson</x:v>
      </x:c>
      <x:c r="H20" s="39" t="str">
        <x:v>Senior Research Coordinator</x:v>
      </x:c>
      <x:c r="I20" s="39" t="str">
        <x:v>Research</x:v>
      </x:c>
      <x:c r="J20" s="52" t="n">
        <x:v>1</x:v>
      </x:c>
      <x:c r="K20" s="53" t="n">
        <x:v>68000</x:v>
      </x:c>
      <x:c r="L20" s="52" t="n">
        <x:v>0.03</x:v>
      </x:c>
      <x:c r="M20" s="52" t="n">
        <x:v>0.285</x:v>
      </x:c>
      <x:c r="N20" s="52" t="n">
        <x:v>0.155</x:v>
      </x:c>
      <x:c r="O20" s="52" t="n">
        <x:v>0.08</x:v>
      </x:c>
    </x:row>
    <x:row r="21">
      <x:c r="A21" s="39" t="str">
        <x:v>LAB_SUPPLIES</x:v>
      </x:c>
      <x:c r="B21" s="39" t="str">
        <x:v>Lab Supplies &amp; Reagents</x:v>
      </x:c>
      <x:c r="C21" s="39" t="str">
        <x:v>Laboratory Operations</x:v>
      </x:c>
      <x:c r="D21" s="39" t="str">
        <x:v>Monthly</x:v>
      </x:c>
      <x:c r="E21" s="39"/>
      <x:c r="F21" s="39" t="str">
        <x:v>E007</x:v>
      </x:c>
      <x:c r="G21" s="39" t="str">
        <x:v>Michael Park</x:v>
      </x:c>
      <x:c r="H21" s="39" t="str">
        <x:v>Financial / Data Analyst</x:v>
      </x:c>
      <x:c r="I21" s="39" t="str">
        <x:v>Admin</x:v>
      </x:c>
      <x:c r="J21" s="52" t="n">
        <x:v>1</x:v>
      </x:c>
      <x:c r="K21" s="53" t="n">
        <x:v>78000</x:v>
      </x:c>
      <x:c r="L21" s="52" t="n">
        <x:v>0.03</x:v>
      </x:c>
      <x:c r="M21" s="52" t="n">
        <x:v>0.285</x:v>
      </x:c>
      <x:c r="N21" s="52" t="n">
        <x:v>0.155</x:v>
      </x:c>
      <x:c r="O21" s="52" t="n">
        <x:v>0.08</x:v>
      </x:c>
    </x:row>
    <x:row r="22">
      <x:c r="A22" s="39" t="str">
        <x:v>LAB_EQUIP</x:v>
      </x:c>
      <x:c r="B22" s="39" t="str">
        <x:v>Laboratory Equipment (&lt;$5k)</x:v>
      </x:c>
      <x:c r="C22" s="39" t="str">
        <x:v>Laboratory Operations</x:v>
      </x:c>
      <x:c r="D22" s="39" t="str">
        <x:v>Seasonal</x:v>
      </x:c>
      <x:c r="E22" s="39"/>
      <x:c r="F22" s="39" t="str">
        <x:v>E008</x:v>
      </x:c>
      <x:c r="G22" s="39" t="str">
        <x:v>Dr. Elena Vasquez</x:v>
      </x:c>
      <x:c r="H22" s="39" t="str">
        <x:v>Adjunct Research Scientist</x:v>
      </x:c>
      <x:c r="I22" s="39" t="str">
        <x:v>Research</x:v>
      </x:c>
      <x:c r="J22" s="52" t="n">
        <x:v>0.5</x:v>
      </x:c>
      <x:c r="K22" s="53" t="n">
        <x:v>105000</x:v>
      </x:c>
      <x:c r="L22" s="52" t="n">
        <x:v>0.03</x:v>
      </x:c>
      <x:c r="M22" s="52" t="n">
        <x:v>0.155</x:v>
      </x:c>
      <x:c r="N22" s="52" t="n">
        <x:v>0.155</x:v>
      </x:c>
      <x:c r="O22" s="52" t="n">
        <x:v>0.08</x:v>
      </x:c>
    </x:row>
    <x:row r="23">
      <x:c r="A23" s="39" t="str">
        <x:v>EQUIP_MAINT</x:v>
      </x:c>
      <x:c r="B23" s="39" t="str">
        <x:v>Equipment Maintenance &amp; Service</x:v>
      </x:c>
      <x:c r="C23" s="39" t="str">
        <x:v>Laboratory Operations</x:v>
      </x:c>
      <x:c r="D23" s="39" t="str">
        <x:v>Even</x:v>
      </x:c>
      <x:c r="E23" s="39"/>
      <x:c r="F23" s="39" t="str">
        <x:v>E009</x:v>
      </x:c>
      <x:c r="G23" s="39" t="str">
        <x:v>Undergraduate RAs</x:v>
      </x:c>
      <x:c r="H23" s="39" t="str">
        <x:v>Research Assistant</x:v>
      </x:c>
      <x:c r="I23" s="39" t="str">
        <x:v>Laboratory</x:v>
      </x:c>
      <x:c r="J23" s="52" t="n">
        <x:v>0.25</x:v>
      </x:c>
      <x:c r="K23" s="53" t="n">
        <x:v>19500</x:v>
      </x:c>
      <x:c r="L23" s="52" t="n">
        <x:v>0</x:v>
      </x:c>
      <x:c r="M23" s="52" t="n">
        <x:v>0</x:v>
      </x:c>
      <x:c r="N23" s="52" t="n">
        <x:v>0</x:v>
      </x:c>
      <x:c r="O23" s="52" t="n">
        <x:v>0</x:v>
      </x:c>
    </x:row>
    <x:row r="24">
      <x:c r="A24" s="39" t="str">
        <x:v>CORE_FACILITY</x:v>
      </x:c>
      <x:c r="B24" s="39" t="str">
        <x:v>Core Facility Usage Fees</x:v>
      </x:c>
      <x:c r="C24" s="39" t="str">
        <x:v>Laboratory Operations</x:v>
      </x:c>
      <x:c r="D24" s="39" t="str">
        <x:v>Monthly</x:v>
      </x:c>
      <x:c r="E24" s="39"/>
      <x:c r="F24" s="39" t="str">
        <x:v>E010</x:v>
      </x:c>
      <x:c r="G24" s="39" t="str">
        <x:v>Administrative Coordinator</x:v>
      </x:c>
      <x:c r="H24" s="39" t="str">
        <x:v>Department Administration</x:v>
      </x:c>
      <x:c r="I24" s="39" t="str">
        <x:v>Admin</x:v>
      </x:c>
      <x:c r="J24" s="52" t="n">
        <x:v>0.75</x:v>
      </x:c>
      <x:c r="K24" s="53" t="n">
        <x:v>58000</x:v>
      </x:c>
      <x:c r="L24" s="52" t="n">
        <x:v>0.03</x:v>
      </x:c>
      <x:c r="M24" s="52" t="n">
        <x:v>0.285</x:v>
      </x:c>
      <x:c r="N24" s="52" t="n">
        <x:v>0.155</x:v>
      </x:c>
      <x:c r="O24" s="52" t="n">
        <x:v>0.08</x:v>
      </x:c>
    </x:row>
    <x:row r="25">
      <x:c r="A25" s="39" t="str">
        <x:v>LAB_SAFETY</x:v>
      </x:c>
      <x:c r="B25" s="39" t="str">
        <x:v>Lab Safety &amp; Compliance</x:v>
      </x:c>
      <x:c r="C25" s="39" t="str">
        <x:v>Laboratory Operations</x:v>
      </x:c>
      <x:c r="D25" s="39" t="str">
        <x:v>Even</x:v>
      </x:c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</x:row>
    <x:row r="26">
      <x:c r="A26" s="39" t="str">
        <x:v>SUBCONTRACTS</x:v>
      </x:c>
      <x:c r="B26" s="39" t="str">
        <x:v>Subcontracts &amp; Consultants</x:v>
      </x:c>
      <x:c r="C26" s="39" t="str">
        <x:v>Research &amp; Scientific</x:v>
      </x:c>
      <x:c r="D26" s="39" t="str">
        <x:v>Quarterly</x:v>
      </x:c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</x:row>
    <x:row r="27">
      <x:c r="A27" s="39" t="str">
        <x:v>ANIMAL_CARE</x:v>
      </x:c>
      <x:c r="B27" s="39" t="str">
        <x:v>Animal Care &amp; Husbandry</x:v>
      </x:c>
      <x:c r="C27" s="39" t="str">
        <x:v>Research &amp; Scientific</x:v>
      </x:c>
      <x:c r="D27" s="39" t="str">
        <x:v>Monthly</x:v>
      </x:c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</x:row>
    <x:row r="28">
      <x:c r="A28" s="39" t="str">
        <x:v>HUMAN_SUBJECTS</x:v>
      </x:c>
      <x:c r="B28" s="39" t="str">
        <x:v>Human Subjects / IRB Costs</x:v>
      </x:c>
      <x:c r="C28" s="39" t="str">
        <x:v>Research &amp; Scientific</x:v>
      </x:c>
      <x:c r="D28" s="39" t="str">
        <x:v>Seasonal</x:v>
      </x:c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</x:row>
    <x:row r="29">
      <x:c r="A29" s="39" t="str">
        <x:v>PUBLICATION</x:v>
      </x:c>
      <x:c r="B29" s="39" t="str">
        <x:v>Publication &amp; Open Access Fees</x:v>
      </x:c>
      <x:c r="C29" s="39" t="str">
        <x:v>Research &amp; Scientific</x:v>
      </x:c>
      <x:c r="D29" s="39" t="str">
        <x:v>Seasonal</x:v>
      </x:c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</x:row>
    <x:row r="30">
      <x:c r="A30" s="39" t="str">
        <x:v>COMPUTE</x:v>
      </x:c>
      <x:c r="B30" s="39" t="str">
        <x:v>Research Computing / HPC</x:v>
      </x:c>
      <x:c r="C30" s="39" t="str">
        <x:v>Research &amp; Scientific</x:v>
      </x:c>
      <x:c r="D30" s="39" t="str">
        <x:v>Monthly</x:v>
      </x:c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</x:row>
    <x:row r="31">
      <x:c r="A31" s="39" t="str">
        <x:v>TRAVEL</x:v>
      </x:c>
      <x:c r="B31" s="39" t="str">
        <x:v>Domestic Conference &amp; Travel</x:v>
      </x:c>
      <x:c r="C31" s="39" t="str">
        <x:v>Administrative &amp; Travel</x:v>
      </x:c>
      <x:c r="D31" s="39" t="str">
        <x:v>Seasonal</x:v>
      </x:c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</x:row>
    <x:row r="32">
      <x:c r="A32" s="39" t="str">
        <x:v>INTL_TRAVEL</x:v>
      </x:c>
      <x:c r="B32" s="39" t="str">
        <x:v>International Travel</x:v>
      </x:c>
      <x:c r="C32" s="39" t="str">
        <x:v>Administrative &amp; Travel</x:v>
      </x:c>
      <x:c r="D32" s="39" t="str">
        <x:v>Seasonal</x:v>
      </x:c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</x:row>
    <x:row r="33">
      <x:c r="A33" s="39" t="str">
        <x:v>OFFICE</x:v>
      </x:c>
      <x:c r="B33" s="39" t="str">
        <x:v>Office &amp; Admin Supplies</x:v>
      </x:c>
      <x:c r="C33" s="39" t="str">
        <x:v>Administrative &amp; Travel</x:v>
      </x:c>
      <x:c r="D33" s="39" t="str">
        <x:v>Even</x:v>
      </x:c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</x:row>
    <x:row r="34">
      <x:c r="A34" s="39" t="str">
        <x:v>PHONE</x:v>
      </x:c>
      <x:c r="B34" s="39" t="str">
        <x:v>Telephone &amp; Communications</x:v>
      </x:c>
      <x:c r="C34" s="39" t="str">
        <x:v>Administrative &amp; Travel</x:v>
      </x:c>
      <x:c r="D34" s="39" t="str">
        <x:v>Even</x:v>
      </x:c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</x:row>
    <x:row r="35">
      <x:c r="A35" s="39" t="str">
        <x:v>SOFTWARE</x:v>
      </x:c>
      <x:c r="B35" s="39" t="str">
        <x:v>IT Licenses &amp; Software</x:v>
      </x:c>
      <x:c r="C35" s="39" t="str">
        <x:v>Administrative &amp; Travel</x:v>
      </x:c>
      <x:c r="D35" s="39" t="str">
        <x:v>Annual</x:v>
      </x:c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</x:row>
    <x:row r="36">
      <x:c r="A36" s="39" t="str">
        <x:v>PRINTING</x:v>
      </x:c>
      <x:c r="B36" s="39" t="str">
        <x:v>Postage, Printing &amp; Copying</x:v>
      </x:c>
      <x:c r="C36" s="39" t="str">
        <x:v>Administrative &amp; Travel</x:v>
      </x:c>
      <x:c r="D36" s="39" t="str">
        <x:v>Even</x:v>
      </x:c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</x:row>
    <x:row r="37">
      <x:c r="A37" s="39" t="str">
        <x:v>FNA</x:v>
      </x:c>
      <x:c r="B37" s="39" t="str">
        <x:v>Indirect Costs (F&amp;A) — 26.5%</x:v>
      </x:c>
      <x:c r="C37" s="39" t="str">
        <x:v>Indirect Costs &amp; Reserves</x:v>
      </x:c>
      <x:c r="D37" s="39" t="str">
        <x:v>Formula</x:v>
      </x:c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</x:row>
    <x:row r="38">
      <x:c r="A38" s="39" t="str">
        <x:v>CONTINGENCY</x:v>
      </x:c>
      <x:c r="B38" s="39" t="str">
        <x:v>Contingency Reserve (3%)</x:v>
      </x:c>
      <x:c r="C38" s="39" t="str">
        <x:v>Indirect Costs &amp; Reserves</x:v>
      </x:c>
      <x:c r="D38" s="39" t="str">
        <x:v>Formula</x:v>
      </x:c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</x:row>
    <x:row r="50">
      <x:c r="A50" s="51" t="str">
        <x:v>month_start_date</x:v>
      </x:c>
      <x:c r="B50" s="51" t="str">
        <x:v>category_id</x:v>
      </x:c>
      <x:c r="C50" s="51" t="str">
        <x:v>budget_amount</x:v>
      </x:c>
      <x:c r="D50" s="39"/>
      <x:c r="E50" s="39"/>
      <x:c r="F50" s="51" t="str">
        <x:v>expense_id</x:v>
      </x:c>
      <x:c r="G50" s="51" t="str">
        <x:v>month_start_date</x:v>
      </x:c>
      <x:c r="H50" s="51" t="str">
        <x:v>grant_id</x:v>
      </x:c>
      <x:c r="I50" s="51" t="str">
        <x:v>category_id</x:v>
      </x:c>
      <x:c r="J50" s="51" t="str">
        <x:v>actual_amount</x:v>
      </x:c>
      <x:c r="K50" s="39"/>
      <x:c r="L50" s="39"/>
      <x:c r="M50" s="39"/>
      <x:c r="N50" s="39"/>
      <x:c r="O50" s="39"/>
    </x:row>
    <x:row r="51">
      <x:c r="A51" s="39" t="n">
        <x:v>45839</x:v>
      </x:c>
      <x:c r="B51" s="39" t="str">
        <x:v>LAB_SUPPLIES</x:v>
      </x:c>
      <x:c r="C51" s="53" t="n">
        <x:v>16000</x:v>
      </x:c>
      <x:c r="D51" s="39"/>
      <x:c r="E51" s="39"/>
      <x:c r="F51" s="39" t="str">
        <x:v>EXP00001</x:v>
      </x:c>
      <x:c r="G51" s="39" t="n">
        <x:v>45839</x:v>
      </x:c>
      <x:c r="H51" s="39" t="str">
        <x:v>NSF-2234567</x:v>
      </x:c>
      <x:c r="I51" s="39" t="str">
        <x:v>LAB_SUPPLIES</x:v>
      </x:c>
      <x:c r="J51" s="53" t="n">
        <x:v>2144.46</x:v>
      </x:c>
      <x:c r="K51" s="39"/>
      <x:c r="L51" s="39"/>
      <x:c r="M51" s="39"/>
      <x:c r="N51" s="39"/>
      <x:c r="O51" s="39"/>
    </x:row>
    <x:row r="52">
      <x:c r="A52" s="39" t="n">
        <x:v>45870</x:v>
      </x:c>
      <x:c r="B52" s="39" t="str">
        <x:v>LAB_SUPPLIES</x:v>
      </x:c>
      <x:c r="C52" s="53" t="n">
        <x:v>16000</x:v>
      </x:c>
      <x:c r="D52" s="39"/>
      <x:c r="E52" s="39"/>
      <x:c r="F52" s="39" t="str">
        <x:v>EXP00002</x:v>
      </x:c>
      <x:c r="G52" s="39" t="n">
        <x:v>45839</x:v>
      </x:c>
      <x:c r="H52" s="39" t="str">
        <x:v>PCORI-12345</x:v>
      </x:c>
      <x:c r="I52" s="39" t="str">
        <x:v>LAB_SUPPLIES</x:v>
      </x:c>
      <x:c r="J52" s="53" t="n">
        <x:v>8462.66</x:v>
      </x:c>
      <x:c r="K52" s="39"/>
      <x:c r="L52" s="39"/>
      <x:c r="M52" s="39"/>
      <x:c r="N52" s="39"/>
      <x:c r="O52" s="39"/>
    </x:row>
    <x:row r="53">
      <x:c r="A53" s="39" t="n">
        <x:v>45901</x:v>
      </x:c>
      <x:c r="B53" s="39" t="str">
        <x:v>LAB_SUPPLIES</x:v>
      </x:c>
      <x:c r="C53" s="53" t="n">
        <x:v>16000</x:v>
      </x:c>
      <x:c r="D53" s="39"/>
      <x:c r="E53" s="39"/>
      <x:c r="F53" s="39" t="str">
        <x:v>EXP00003</x:v>
      </x:c>
      <x:c r="G53" s="39" t="n">
        <x:v>45839</x:v>
      </x:c>
      <x:c r="H53" s="39" t="str">
        <x:v>R01-HL145821</x:v>
      </x:c>
      <x:c r="I53" s="39" t="str">
        <x:v>LAB_SUPPLIES</x:v>
      </x:c>
      <x:c r="J53" s="53" t="n">
        <x:v>8569.49</x:v>
      </x:c>
      <x:c r="K53" s="39"/>
      <x:c r="L53" s="39"/>
      <x:c r="M53" s="39"/>
      <x:c r="N53" s="39"/>
      <x:c r="O53" s="39"/>
    </x:row>
    <x:row r="54">
      <x:c r="A54" s="39" t="n">
        <x:v>45931</x:v>
      </x:c>
      <x:c r="B54" s="39" t="str">
        <x:v>LAB_SUPPLIES</x:v>
      </x:c>
      <x:c r="C54" s="53" t="n">
        <x:v>16000</x:v>
      </x:c>
      <x:c r="D54" s="39"/>
      <x:c r="E54" s="39"/>
      <x:c r="F54" s="39" t="str">
        <x:v>EXP00004</x:v>
      </x:c>
      <x:c r="G54" s="39" t="n">
        <x:v>45870</x:v>
      </x:c>
      <x:c r="H54" s="39" t="str">
        <x:v>R01-HL145821</x:v>
      </x:c>
      <x:c r="I54" s="39" t="str">
        <x:v>LAB_SUPPLIES</x:v>
      </x:c>
      <x:c r="J54" s="53" t="n">
        <x:v>16800.61</x:v>
      </x:c>
      <x:c r="K54" s="39"/>
      <x:c r="L54" s="39"/>
      <x:c r="M54" s="39"/>
      <x:c r="N54" s="39"/>
      <x:c r="O54" s="39"/>
    </x:row>
    <x:row r="55">
      <x:c r="A55" s="39" t="n">
        <x:v>45962</x:v>
      </x:c>
      <x:c r="B55" s="39" t="str">
        <x:v>LAB_SUPPLIES</x:v>
      </x:c>
      <x:c r="C55" s="53" t="n">
        <x:v>16000</x:v>
      </x:c>
      <x:c r="D55" s="39"/>
      <x:c r="E55" s="39"/>
      <x:c r="F55" s="39" t="str">
        <x:v>EXP00005</x:v>
      </x:c>
      <x:c r="G55" s="39" t="n">
        <x:v>45870</x:v>
      </x:c>
      <x:c r="H55" s="39" t="str">
        <x:v>PCORI-12345</x:v>
      </x:c>
      <x:c r="I55" s="39" t="str">
        <x:v>LAB_SUPPLIES</x:v>
      </x:c>
      <x:c r="J55" s="53" t="n">
        <x:v>2608.42</x:v>
      </x:c>
      <x:c r="K55" s="39"/>
      <x:c r="L55" s="39"/>
      <x:c r="M55" s="39"/>
      <x:c r="N55" s="39"/>
      <x:c r="O55" s="39"/>
    </x:row>
    <x:row r="56">
      <x:c r="A56" s="39" t="n">
        <x:v>45992</x:v>
      </x:c>
      <x:c r="B56" s="39" t="str">
        <x:v>LAB_SUPPLIES</x:v>
      </x:c>
      <x:c r="C56" s="53" t="n">
        <x:v>16000</x:v>
      </x:c>
      <x:c r="D56" s="39"/>
      <x:c r="E56" s="39"/>
      <x:c r="F56" s="39" t="str">
        <x:v>EXP00006</x:v>
      </x:c>
      <x:c r="G56" s="39" t="n">
        <x:v>45901</x:v>
      </x:c>
      <x:c r="H56" s="39" t="str">
        <x:v>K99-AG054321</x:v>
      </x:c>
      <x:c r="I56" s="39" t="str">
        <x:v>LAB_SUPPLIES</x:v>
      </x:c>
      <x:c r="J56" s="53" t="n">
        <x:v>6286.98</x:v>
      </x:c>
      <x:c r="K56" s="39"/>
      <x:c r="L56" s="39"/>
      <x:c r="M56" s="39"/>
      <x:c r="N56" s="39"/>
      <x:c r="O56" s="39"/>
    </x:row>
    <x:row r="57">
      <x:c r="A57" s="39" t="n">
        <x:v>46023</x:v>
      </x:c>
      <x:c r="B57" s="39" t="str">
        <x:v>LAB_SUPPLIES</x:v>
      </x:c>
      <x:c r="C57" s="53" t="n">
        <x:v>16000</x:v>
      </x:c>
      <x:c r="D57" s="39"/>
      <x:c r="E57" s="39"/>
      <x:c r="F57" s="39" t="str">
        <x:v>EXP00007</x:v>
      </x:c>
      <x:c r="G57" s="39" t="n">
        <x:v>45901</x:v>
      </x:c>
      <x:c r="H57" s="39" t="str">
        <x:v>R01-HL145821</x:v>
      </x:c>
      <x:c r="I57" s="39" t="str">
        <x:v>LAB_SUPPLIES</x:v>
      </x:c>
      <x:c r="J57" s="53" t="n">
        <x:v>3977.43</x:v>
      </x:c>
      <x:c r="K57" s="39"/>
      <x:c r="L57" s="39"/>
      <x:c r="M57" s="39"/>
      <x:c r="N57" s="39"/>
      <x:c r="O57" s="39"/>
    </x:row>
    <x:row r="58">
      <x:c r="A58" s="39" t="n">
        <x:v>46054</x:v>
      </x:c>
      <x:c r="B58" s="39" t="str">
        <x:v>LAB_SUPPLIES</x:v>
      </x:c>
      <x:c r="C58" s="53" t="n">
        <x:v>16000</x:v>
      </x:c>
      <x:c r="D58" s="39"/>
      <x:c r="E58" s="39"/>
      <x:c r="F58" s="39" t="str">
        <x:v>EXP00008</x:v>
      </x:c>
      <x:c r="G58" s="39" t="n">
        <x:v>45901</x:v>
      </x:c>
      <x:c r="H58" s="39" t="str">
        <x:v>NSF-2234567</x:v>
      </x:c>
      <x:c r="I58" s="39" t="str">
        <x:v>LAB_SUPPLIES</x:v>
      </x:c>
      <x:c r="J58" s="53" t="n">
        <x:v>2956.12</x:v>
      </x:c>
      <x:c r="K58" s="39"/>
      <x:c r="L58" s="39"/>
      <x:c r="M58" s="39"/>
      <x:c r="N58" s="39"/>
      <x:c r="O58" s="39"/>
    </x:row>
    <x:row r="59">
      <x:c r="A59" s="39" t="n">
        <x:v>46082</x:v>
      </x:c>
      <x:c r="B59" s="39" t="str">
        <x:v>LAB_SUPPLIES</x:v>
      </x:c>
      <x:c r="C59" s="53" t="n">
        <x:v>16000</x:v>
      </x:c>
      <x:c r="D59" s="39"/>
      <x:c r="E59" s="39"/>
      <x:c r="F59" s="39" t="str">
        <x:v>EXP00009</x:v>
      </x:c>
      <x:c r="G59" s="39" t="n">
        <x:v>45901</x:v>
      </x:c>
      <x:c r="H59" s="39" t="str">
        <x:v>R01-CA198765</x:v>
      </x:c>
      <x:c r="I59" s="39" t="str">
        <x:v>LAB_SUPPLIES</x:v>
      </x:c>
      <x:c r="J59" s="53" t="n">
        <x:v>7035.07</x:v>
      </x:c>
      <x:c r="K59" s="39"/>
      <x:c r="L59" s="39"/>
      <x:c r="M59" s="39"/>
      <x:c r="N59" s="39"/>
      <x:c r="O59" s="39"/>
    </x:row>
    <x:row r="60">
      <x:c r="A60" s="39" t="n">
        <x:v>46113</x:v>
      </x:c>
      <x:c r="B60" s="39" t="str">
        <x:v>LAB_SUPPLIES</x:v>
      </x:c>
      <x:c r="C60" s="53" t="n">
        <x:v>16000</x:v>
      </x:c>
      <x:c r="D60" s="39"/>
      <x:c r="E60" s="39"/>
      <x:c r="F60" s="39" t="str">
        <x:v>EXP00010</x:v>
      </x:c>
      <x:c r="G60" s="39" t="n">
        <x:v>45931</x:v>
      </x:c>
      <x:c r="H60" s="39" t="str">
        <x:v>K99-AG054321</x:v>
      </x:c>
      <x:c r="I60" s="39" t="str">
        <x:v>LAB_SUPPLIES</x:v>
      </x:c>
      <x:c r="J60" s="53" t="n">
        <x:v>4315.66</x:v>
      </x:c>
      <x:c r="K60" s="39"/>
      <x:c r="L60" s="39"/>
      <x:c r="M60" s="39"/>
      <x:c r="N60" s="39"/>
      <x:c r="O60" s="39"/>
    </x:row>
    <x:row r="61">
      <x:c r="A61" s="39" t="n">
        <x:v>46143</x:v>
      </x:c>
      <x:c r="B61" s="39" t="str">
        <x:v>LAB_SUPPLIES</x:v>
      </x:c>
      <x:c r="C61" s="53" t="n">
        <x:v>16000</x:v>
      </x:c>
      <x:c r="D61" s="39"/>
      <x:c r="E61" s="39"/>
      <x:c r="F61" s="39" t="str">
        <x:v>EXP00011</x:v>
      </x:c>
      <x:c r="G61" s="39" t="n">
        <x:v>45931</x:v>
      </x:c>
      <x:c r="H61" s="39" t="str">
        <x:v>FDTN-CZ-891</x:v>
      </x:c>
      <x:c r="I61" s="39" t="str">
        <x:v>LAB_SUPPLIES</x:v>
      </x:c>
      <x:c r="J61" s="53" t="n">
        <x:v>8123.11</x:v>
      </x:c>
      <x:c r="K61" s="39"/>
      <x:c r="L61" s="39"/>
      <x:c r="M61" s="39"/>
      <x:c r="N61" s="39"/>
      <x:c r="O61" s="39"/>
    </x:row>
    <x:row r="62">
      <x:c r="A62" s="39" t="n">
        <x:v>46174</x:v>
      </x:c>
      <x:c r="B62" s="39" t="str">
        <x:v>LAB_SUPPLIES</x:v>
      </x:c>
      <x:c r="C62" s="53" t="n">
        <x:v>16000</x:v>
      </x:c>
      <x:c r="D62" s="39"/>
      <x:c r="E62" s="39"/>
      <x:c r="F62" s="39" t="str">
        <x:v>EXP00012</x:v>
      </x:c>
      <x:c r="G62" s="39" t="n">
        <x:v>45931</x:v>
      </x:c>
      <x:c r="H62" s="39" t="str">
        <x:v>DOD-W81XWH</x:v>
      </x:c>
      <x:c r="I62" s="39" t="str">
        <x:v>LAB_SUPPLIES</x:v>
      </x:c>
      <x:c r="J62" s="53" t="n">
        <x:v>2260.93</x:v>
      </x:c>
      <x:c r="K62" s="39"/>
      <x:c r="L62" s="39"/>
      <x:c r="M62" s="39"/>
      <x:c r="N62" s="39"/>
      <x:c r="O62" s="39"/>
    </x:row>
    <x:row r="63">
      <x:c r="A63" s="39" t="n">
        <x:v>45839</x:v>
      </x:c>
      <x:c r="B63" s="39" t="str">
        <x:v>LAB_EQUIP</x:v>
      </x:c>
      <x:c r="C63" s="53" t="n">
        <x:v>1920</x:v>
      </x:c>
      <x:c r="D63" s="39"/>
      <x:c r="E63" s="39"/>
      <x:c r="F63" s="39" t="str">
        <x:v>EXP00013</x:v>
      </x:c>
      <x:c r="G63" s="39" t="n">
        <x:v>45931</x:v>
      </x:c>
      <x:c r="H63" s="39" t="str">
        <x:v>R01-CA198765</x:v>
      </x:c>
      <x:c r="I63" s="39" t="str">
        <x:v>LAB_SUPPLIES</x:v>
      </x:c>
      <x:c r="J63" s="53" t="n">
        <x:v>4152.45</x:v>
      </x:c>
      <x:c r="K63" s="39"/>
      <x:c r="L63" s="39"/>
      <x:c r="M63" s="39"/>
      <x:c r="N63" s="39"/>
      <x:c r="O63" s="39"/>
    </x:row>
    <x:row r="64">
      <x:c r="A64" s="39" t="n">
        <x:v>45870</x:v>
      </x:c>
      <x:c r="B64" s="39" t="str">
        <x:v>LAB_EQUIP</x:v>
      </x:c>
      <x:c r="C64" s="53" t="n">
        <x:v>3840</x:v>
      </x:c>
      <x:c r="D64" s="39"/>
      <x:c r="E64" s="39"/>
      <x:c r="F64" s="39" t="str">
        <x:v>EXP00014</x:v>
      </x:c>
      <x:c r="G64" s="39" t="n">
        <x:v>45962</x:v>
      </x:c>
      <x:c r="H64" s="39" t="str">
        <x:v>R01-HL145821</x:v>
      </x:c>
      <x:c r="I64" s="39" t="str">
        <x:v>LAB_SUPPLIES</x:v>
      </x:c>
      <x:c r="J64" s="53" t="n">
        <x:v>6986.07</x:v>
      </x:c>
      <x:c r="K64" s="39"/>
      <x:c r="L64" s="39"/>
      <x:c r="M64" s="39"/>
      <x:c r="N64" s="39"/>
      <x:c r="O64" s="39"/>
    </x:row>
    <x:row r="65">
      <x:c r="A65" s="39" t="n">
        <x:v>45901</x:v>
      </x:c>
      <x:c r="B65" s="39" t="str">
        <x:v>LAB_EQUIP</x:v>
      </x:c>
      <x:c r="C65" s="53" t="n">
        <x:v>5760</x:v>
      </x:c>
      <x:c r="D65" s="39"/>
      <x:c r="E65" s="39"/>
      <x:c r="F65" s="39" t="str">
        <x:v>EXP00015</x:v>
      </x:c>
      <x:c r="G65" s="39" t="n">
        <x:v>45962</x:v>
      </x:c>
      <x:c r="H65" s="39" t="str">
        <x:v>R01-CA198765</x:v>
      </x:c>
      <x:c r="I65" s="39" t="str">
        <x:v>LAB_SUPPLIES</x:v>
      </x:c>
      <x:c r="J65" s="53" t="n">
        <x:v>2248.46</x:v>
      </x:c>
      <x:c r="K65" s="39"/>
      <x:c r="L65" s="39"/>
      <x:c r="M65" s="39"/>
      <x:c r="N65" s="39"/>
      <x:c r="O65" s="39"/>
    </x:row>
    <x:row r="66">
      <x:c r="A66" s="39" t="n">
        <x:v>45931</x:v>
      </x:c>
      <x:c r="B66" s="39" t="str">
        <x:v>LAB_EQUIP</x:v>
      </x:c>
      <x:c r="C66" s="53" t="n">
        <x:v>5760</x:v>
      </x:c>
      <x:c r="D66" s="39"/>
      <x:c r="E66" s="39"/>
      <x:c r="F66" s="39" t="str">
        <x:v>EXP00016</x:v>
      </x:c>
      <x:c r="G66" s="39" t="n">
        <x:v>45962</x:v>
      </x:c>
      <x:c r="H66" s="39" t="str">
        <x:v>FDTN-CZ-891</x:v>
      </x:c>
      <x:c r="I66" s="39" t="str">
        <x:v>LAB_SUPPLIES</x:v>
      </x:c>
      <x:c r="J66" s="53" t="n">
        <x:v>2718.29</x:v>
      </x:c>
      <x:c r="K66" s="39"/>
      <x:c r="L66" s="39"/>
      <x:c r="M66" s="39"/>
      <x:c r="N66" s="39"/>
      <x:c r="O66" s="39"/>
    </x:row>
    <x:row r="67">
      <x:c r="A67" s="39" t="n">
        <x:v>45962</x:v>
      </x:c>
      <x:c r="B67" s="39" t="str">
        <x:v>LAB_EQUIP</x:v>
      </x:c>
      <x:c r="C67" s="53" t="n">
        <x:v>3840</x:v>
      </x:c>
      <x:c r="D67" s="39"/>
      <x:c r="E67" s="39"/>
      <x:c r="F67" s="39" t="str">
        <x:v>EXP00017</x:v>
      </x:c>
      <x:c r="G67" s="39" t="n">
        <x:v>45962</x:v>
      </x:c>
      <x:c r="H67" s="39" t="str">
        <x:v>PCORI-12345</x:v>
      </x:c>
      <x:c r="I67" s="39" t="str">
        <x:v>LAB_SUPPLIES</x:v>
      </x:c>
      <x:c r="J67" s="53" t="n">
        <x:v>6668.27</x:v>
      </x:c>
      <x:c r="K67" s="39"/>
      <x:c r="L67" s="39"/>
      <x:c r="M67" s="39"/>
      <x:c r="N67" s="39"/>
      <x:c r="O67" s="39"/>
    </x:row>
    <x:row r="68">
      <x:c r="A68" s="39" t="n">
        <x:v>45992</x:v>
      </x:c>
      <x:c r="B68" s="39" t="str">
        <x:v>LAB_EQUIP</x:v>
      </x:c>
      <x:c r="C68" s="53" t="n">
        <x:v>2880</x:v>
      </x:c>
      <x:c r="D68" s="39"/>
      <x:c r="E68" s="39"/>
      <x:c r="F68" s="39" t="str">
        <x:v>EXP00018</x:v>
      </x:c>
      <x:c r="G68" s="39" t="n">
        <x:v>45992</x:v>
      </x:c>
      <x:c r="H68" s="39" t="str">
        <x:v>NSF-2234567</x:v>
      </x:c>
      <x:c r="I68" s="39" t="str">
        <x:v>LAB_SUPPLIES</x:v>
      </x:c>
      <x:c r="J68" s="53" t="n">
        <x:v>5188.56</x:v>
      </x:c>
      <x:c r="K68" s="39"/>
      <x:c r="L68" s="39"/>
      <x:c r="M68" s="39"/>
      <x:c r="N68" s="39"/>
      <x:c r="O68" s="39"/>
    </x:row>
    <x:row r="69">
      <x:c r="A69" s="39" t="n">
        <x:v>46023</x:v>
      </x:c>
      <x:c r="B69" s="39" t="str">
        <x:v>LAB_EQUIP</x:v>
      </x:c>
      <x:c r="C69" s="53" t="n">
        <x:v>2400</x:v>
      </x:c>
      <x:c r="D69" s="39"/>
      <x:c r="E69" s="39"/>
      <x:c r="F69" s="39" t="str">
        <x:v>EXP00019</x:v>
      </x:c>
      <x:c r="G69" s="39" t="n">
        <x:v>45992</x:v>
      </x:c>
      <x:c r="H69" s="39" t="str">
        <x:v>DOD-W81XWH</x:v>
      </x:c>
      <x:c r="I69" s="39" t="str">
        <x:v>LAB_SUPPLIES</x:v>
      </x:c>
      <x:c r="J69" s="53" t="n">
        <x:v>2579.97</x:v>
      </x:c>
      <x:c r="K69" s="39"/>
      <x:c r="L69" s="39"/>
      <x:c r="M69" s="39"/>
      <x:c r="N69" s="39"/>
      <x:c r="O69" s="39"/>
    </x:row>
    <x:row r="70">
      <x:c r="A70" s="39" t="n">
        <x:v>46054</x:v>
      </x:c>
      <x:c r="B70" s="39" t="str">
        <x:v>LAB_EQUIP</x:v>
      </x:c>
      <x:c r="C70" s="53" t="n">
        <x:v>4320</x:v>
      </x:c>
      <x:c r="D70" s="39"/>
      <x:c r="E70" s="39"/>
      <x:c r="F70" s="39" t="str">
        <x:v>EXP00020</x:v>
      </x:c>
      <x:c r="G70" s="39" t="n">
        <x:v>45992</x:v>
      </x:c>
      <x:c r="H70" s="39" t="str">
        <x:v>FDTN-CZ-891</x:v>
      </x:c>
      <x:c r="I70" s="39" t="str">
        <x:v>LAB_SUPPLIES</x:v>
      </x:c>
      <x:c r="J70" s="53" t="n">
        <x:v>3988.23</x:v>
      </x:c>
      <x:c r="K70" s="39"/>
      <x:c r="L70" s="39"/>
      <x:c r="M70" s="39"/>
      <x:c r="N70" s="39"/>
      <x:c r="O70" s="39"/>
    </x:row>
    <x:row r="71">
      <x:c r="A71" s="39" t="n">
        <x:v>46082</x:v>
      </x:c>
      <x:c r="B71" s="39" t="str">
        <x:v>LAB_EQUIP</x:v>
      </x:c>
      <x:c r="C71" s="53" t="n">
        <x:v>4800</x:v>
      </x:c>
      <x:c r="D71" s="39"/>
      <x:c r="E71" s="39"/>
      <x:c r="F71" s="39" t="str">
        <x:v>EXP00021</x:v>
      </x:c>
      <x:c r="G71" s="39" t="n">
        <x:v>45992</x:v>
      </x:c>
      <x:c r="H71" s="39" t="str">
        <x:v>R01-HL145821</x:v>
      </x:c>
      <x:c r="I71" s="39" t="str">
        <x:v>LAB_SUPPLIES</x:v>
      </x:c>
      <x:c r="J71" s="53" t="n">
        <x:v>6691.92</x:v>
      </x:c>
      <x:c r="K71" s="39"/>
      <x:c r="L71" s="39"/>
      <x:c r="M71" s="39"/>
      <x:c r="N71" s="39"/>
      <x:c r="O71" s="39"/>
    </x:row>
    <x:row r="72">
      <x:c r="A72" s="39" t="n">
        <x:v>46113</x:v>
      </x:c>
      <x:c r="B72" s="39" t="str">
        <x:v>LAB_EQUIP</x:v>
      </x:c>
      <x:c r="C72" s="53" t="n">
        <x:v>4800</x:v>
      </x:c>
      <x:c r="D72" s="39"/>
      <x:c r="E72" s="39"/>
      <x:c r="F72" s="39" t="str">
        <x:v>EXP00022</x:v>
      </x:c>
      <x:c r="G72" s="39" t="n">
        <x:v>46023</x:v>
      </x:c>
      <x:c r="H72" s="39" t="str">
        <x:v>R01-HL145821</x:v>
      </x:c>
      <x:c r="I72" s="39" t="str">
        <x:v>LAB_SUPPLIES</x:v>
      </x:c>
      <x:c r="J72" s="53" t="n">
        <x:v>7670.44</x:v>
      </x:c>
      <x:c r="K72" s="39"/>
      <x:c r="L72" s="39"/>
      <x:c r="M72" s="39"/>
      <x:c r="N72" s="39"/>
      <x:c r="O72" s="39"/>
    </x:row>
    <x:row r="73">
      <x:c r="A73" s="39" t="n">
        <x:v>46143</x:v>
      </x:c>
      <x:c r="B73" s="39" t="str">
        <x:v>LAB_EQUIP</x:v>
      </x:c>
      <x:c r="C73" s="53" t="n">
        <x:v>3840</x:v>
      </x:c>
      <x:c r="D73" s="39"/>
      <x:c r="E73" s="39"/>
      <x:c r="F73" s="39" t="str">
        <x:v>EXP00023</x:v>
      </x:c>
      <x:c r="G73" s="39" t="n">
        <x:v>46023</x:v>
      </x:c>
      <x:c r="H73" s="39" t="str">
        <x:v>DOD-W81XWH</x:v>
      </x:c>
      <x:c r="I73" s="39" t="str">
        <x:v>LAB_SUPPLIES</x:v>
      </x:c>
      <x:c r="J73" s="53" t="n">
        <x:v>12634.39</x:v>
      </x:c>
      <x:c r="K73" s="39"/>
      <x:c r="L73" s="39"/>
      <x:c r="M73" s="39"/>
      <x:c r="N73" s="39"/>
      <x:c r="O73" s="39"/>
    </x:row>
    <x:row r="74">
      <x:c r="A74" s="39" t="n">
        <x:v>46174</x:v>
      </x:c>
      <x:c r="B74" s="39" t="str">
        <x:v>LAB_EQUIP</x:v>
      </x:c>
      <x:c r="C74" s="53" t="n">
        <x:v>3840</x:v>
      </x:c>
      <x:c r="D74" s="39"/>
      <x:c r="E74" s="39"/>
      <x:c r="F74" s="39" t="str">
        <x:v>EXP00024</x:v>
      </x:c>
      <x:c r="G74" s="39" t="n">
        <x:v>46054</x:v>
      </x:c>
      <x:c r="H74" s="39" t="str">
        <x:v>DOD-W81XWH</x:v>
      </x:c>
      <x:c r="I74" s="39" t="str">
        <x:v>LAB_SUPPLIES</x:v>
      </x:c>
      <x:c r="J74" s="53" t="n">
        <x:v>6654.02</x:v>
      </x:c>
      <x:c r="K74" s="39"/>
      <x:c r="L74" s="39"/>
      <x:c r="M74" s="39"/>
      <x:c r="N74" s="39"/>
      <x:c r="O74" s="39"/>
    </x:row>
    <x:row r="75">
      <x:c r="A75" s="39" t="n">
        <x:v>45839</x:v>
      </x:c>
      <x:c r="B75" s="39" t="str">
        <x:v>EQUIP_MAINT</x:v>
      </x:c>
      <x:c r="C75" s="53" t="n">
        <x:v>1833.33</x:v>
      </x:c>
      <x:c r="D75" s="39"/>
      <x:c r="E75" s="39"/>
      <x:c r="F75" s="39" t="str">
        <x:v>EXP00025</x:v>
      </x:c>
      <x:c r="G75" s="39" t="n">
        <x:v>46054</x:v>
      </x:c>
      <x:c r="H75" s="39" t="str">
        <x:v>R01-HL145821</x:v>
      </x:c>
      <x:c r="I75" s="39" t="str">
        <x:v>LAB_SUPPLIES</x:v>
      </x:c>
      <x:c r="J75" s="53" t="n">
        <x:v>4389.3</x:v>
      </x:c>
      <x:c r="K75" s="39"/>
      <x:c r="L75" s="39"/>
      <x:c r="M75" s="39"/>
      <x:c r="N75" s="39"/>
      <x:c r="O75" s="39"/>
    </x:row>
    <x:row r="76">
      <x:c r="A76" s="39" t="n">
        <x:v>45870</x:v>
      </x:c>
      <x:c r="B76" s="39" t="str">
        <x:v>EQUIP_MAINT</x:v>
      </x:c>
      <x:c r="C76" s="53" t="n">
        <x:v>1833.33</x:v>
      </x:c>
      <x:c r="D76" s="39"/>
      <x:c r="E76" s="39"/>
      <x:c r="F76" s="39" t="str">
        <x:v>EXP00026</x:v>
      </x:c>
      <x:c r="G76" s="39" t="n">
        <x:v>46054</x:v>
      </x:c>
      <x:c r="H76" s="39" t="str">
        <x:v>R01-CA198765</x:v>
      </x:c>
      <x:c r="I76" s="39" t="str">
        <x:v>LAB_SUPPLIES</x:v>
      </x:c>
      <x:c r="J76" s="53" t="n">
        <x:v>7053.67</x:v>
      </x:c>
      <x:c r="K76" s="39"/>
      <x:c r="L76" s="39"/>
      <x:c r="M76" s="39"/>
      <x:c r="N76" s="39"/>
      <x:c r="O76" s="39"/>
    </x:row>
    <x:row r="77">
      <x:c r="A77" s="39" t="n">
        <x:v>45901</x:v>
      </x:c>
      <x:c r="B77" s="39" t="str">
        <x:v>EQUIP_MAINT</x:v>
      </x:c>
      <x:c r="C77" s="53" t="n">
        <x:v>1833.33</x:v>
      </x:c>
      <x:c r="D77" s="39"/>
      <x:c r="E77" s="39"/>
      <x:c r="F77" s="39" t="str">
        <x:v>EXP00027</x:v>
      </x:c>
      <x:c r="G77" s="39" t="n">
        <x:v>46054</x:v>
      </x:c>
      <x:c r="H77" s="39" t="str">
        <x:v>NSF-2234567</x:v>
      </x:c>
      <x:c r="I77" s="39" t="str">
        <x:v>LAB_SUPPLIES</x:v>
      </x:c>
      <x:c r="J77" s="53" t="n">
        <x:v>1324.57</x:v>
      </x:c>
      <x:c r="K77" s="39"/>
      <x:c r="L77" s="39"/>
      <x:c r="M77" s="39"/>
      <x:c r="N77" s="39"/>
      <x:c r="O77" s="39"/>
    </x:row>
    <x:row r="78">
      <x:c r="A78" s="39" t="n">
        <x:v>45931</x:v>
      </x:c>
      <x:c r="B78" s="39" t="str">
        <x:v>EQUIP_MAINT</x:v>
      </x:c>
      <x:c r="C78" s="53" t="n">
        <x:v>1833.33</x:v>
      </x:c>
      <x:c r="D78" s="39"/>
      <x:c r="E78" s="39"/>
      <x:c r="F78" s="39" t="str">
        <x:v>EXP00028</x:v>
      </x:c>
      <x:c r="G78" s="39" t="n">
        <x:v>46082</x:v>
      </x:c>
      <x:c r="H78" s="39" t="str">
        <x:v>NSF-2234567</x:v>
      </x:c>
      <x:c r="I78" s="39" t="str">
        <x:v>LAB_SUPPLIES</x:v>
      </x:c>
      <x:c r="J78" s="53" t="n">
        <x:v>16538.87</x:v>
      </x:c>
      <x:c r="K78" s="39"/>
      <x:c r="L78" s="39"/>
      <x:c r="M78" s="39"/>
      <x:c r="N78" s="39"/>
      <x:c r="O78" s="39"/>
    </x:row>
    <x:row r="79">
      <x:c r="A79" s="39" t="n">
        <x:v>45962</x:v>
      </x:c>
      <x:c r="B79" s="39" t="str">
        <x:v>EQUIP_MAINT</x:v>
      </x:c>
      <x:c r="C79" s="53" t="n">
        <x:v>1833.33</x:v>
      </x:c>
      <x:c r="D79" s="39"/>
      <x:c r="E79" s="39"/>
      <x:c r="F79" s="39" t="str">
        <x:v>EXP00029</x:v>
      </x:c>
      <x:c r="G79" s="39" t="n">
        <x:v>46082</x:v>
      </x:c>
      <x:c r="H79" s="39" t="str">
        <x:v>R01-CA198765</x:v>
      </x:c>
      <x:c r="I79" s="39" t="str">
        <x:v>LAB_SUPPLIES</x:v>
      </x:c>
      <x:c r="J79" s="53" t="n">
        <x:v>3215.78</x:v>
      </x:c>
      <x:c r="K79" s="39"/>
      <x:c r="L79" s="39"/>
      <x:c r="M79" s="39"/>
      <x:c r="N79" s="39"/>
      <x:c r="O79" s="39"/>
    </x:row>
    <x:row r="80">
      <x:c r="A80" s="39" t="n">
        <x:v>45992</x:v>
      </x:c>
      <x:c r="B80" s="39" t="str">
        <x:v>EQUIP_MAINT</x:v>
      </x:c>
      <x:c r="C80" s="53" t="n">
        <x:v>1833.33</x:v>
      </x:c>
      <x:c r="D80" s="39"/>
      <x:c r="E80" s="39"/>
      <x:c r="F80" s="39" t="str">
        <x:v>EXP00030</x:v>
      </x:c>
      <x:c r="G80" s="39" t="n">
        <x:v>46113</x:v>
      </x:c>
      <x:c r="H80" s="39" t="str">
        <x:v>NSF-2234567</x:v>
      </x:c>
      <x:c r="I80" s="39" t="str">
        <x:v>LAB_SUPPLIES</x:v>
      </x:c>
      <x:c r="J80" s="53" t="n">
        <x:v>1739.3</x:v>
      </x:c>
      <x:c r="K80" s="39"/>
      <x:c r="L80" s="39"/>
      <x:c r="M80" s="39"/>
      <x:c r="N80" s="39"/>
      <x:c r="O80" s="39"/>
    </x:row>
    <x:row r="81">
      <x:c r="A81" s="39" t="n">
        <x:v>46023</x:v>
      </x:c>
      <x:c r="B81" s="39" t="str">
        <x:v>EQUIP_MAINT</x:v>
      </x:c>
      <x:c r="C81" s="53" t="n">
        <x:v>1833.33</x:v>
      </x:c>
      <x:c r="D81" s="39"/>
      <x:c r="E81" s="39"/>
      <x:c r="F81" s="39" t="str">
        <x:v>EXP00031</x:v>
      </x:c>
      <x:c r="G81" s="39" t="n">
        <x:v>46113</x:v>
      </x:c>
      <x:c r="H81" s="39" t="str">
        <x:v>R01-CA198765</x:v>
      </x:c>
      <x:c r="I81" s="39" t="str">
        <x:v>LAB_SUPPLIES</x:v>
      </x:c>
      <x:c r="J81" s="53" t="n">
        <x:v>6324.63</x:v>
      </x:c>
      <x:c r="K81" s="39"/>
      <x:c r="L81" s="39"/>
      <x:c r="M81" s="39"/>
      <x:c r="N81" s="39"/>
      <x:c r="O81" s="39"/>
    </x:row>
    <x:row r="82">
      <x:c r="A82" s="39" t="n">
        <x:v>46054</x:v>
      </x:c>
      <x:c r="B82" s="39" t="str">
        <x:v>EQUIP_MAINT</x:v>
      </x:c>
      <x:c r="C82" s="53" t="n">
        <x:v>1833.33</x:v>
      </x:c>
      <x:c r="D82" s="39"/>
      <x:c r="E82" s="39"/>
      <x:c r="F82" s="39" t="str">
        <x:v>EXP00032</x:v>
      </x:c>
      <x:c r="G82" s="39" t="n">
        <x:v>46113</x:v>
      </x:c>
      <x:c r="H82" s="39" t="str">
        <x:v>K99-AG054321</x:v>
      </x:c>
      <x:c r="I82" s="39" t="str">
        <x:v>LAB_SUPPLIES</x:v>
      </x:c>
      <x:c r="J82" s="53" t="n">
        <x:v>10481.92</x:v>
      </x:c>
      <x:c r="K82" s="39"/>
      <x:c r="L82" s="39"/>
      <x:c r="M82" s="39"/>
      <x:c r="N82" s="39"/>
      <x:c r="O82" s="39"/>
    </x:row>
    <x:row r="83">
      <x:c r="A83" s="39" t="n">
        <x:v>46082</x:v>
      </x:c>
      <x:c r="B83" s="39" t="str">
        <x:v>EQUIP_MAINT</x:v>
      </x:c>
      <x:c r="C83" s="53" t="n">
        <x:v>1833.33</x:v>
      </x:c>
      <x:c r="D83" s="39"/>
      <x:c r="E83" s="39"/>
      <x:c r="F83" s="39" t="str">
        <x:v>EXP00033</x:v>
      </x:c>
      <x:c r="G83" s="39" t="n">
        <x:v>46143</x:v>
      </x:c>
      <x:c r="H83" s="39" t="str">
        <x:v>R01-CA198765</x:v>
      </x:c>
      <x:c r="I83" s="39" t="str">
        <x:v>LAB_SUPPLIES</x:v>
      </x:c>
      <x:c r="J83" s="53" t="n">
        <x:v>8870.97</x:v>
      </x:c>
      <x:c r="K83" s="39"/>
      <x:c r="L83" s="39"/>
      <x:c r="M83" s="39"/>
      <x:c r="N83" s="39"/>
      <x:c r="O83" s="39"/>
    </x:row>
    <x:row r="84">
      <x:c r="A84" s="39" t="n">
        <x:v>46113</x:v>
      </x:c>
      <x:c r="B84" s="39" t="str">
        <x:v>EQUIP_MAINT</x:v>
      </x:c>
      <x:c r="C84" s="53" t="n">
        <x:v>1833.33</x:v>
      </x:c>
      <x:c r="D84" s="39"/>
      <x:c r="E84" s="39"/>
      <x:c r="F84" s="39" t="str">
        <x:v>EXP00034</x:v>
      </x:c>
      <x:c r="G84" s="39" t="n">
        <x:v>46143</x:v>
      </x:c>
      <x:c r="H84" s="39" t="str">
        <x:v>FDTN-CZ-891</x:v>
      </x:c>
      <x:c r="I84" s="39" t="str">
        <x:v>LAB_SUPPLIES</x:v>
      </x:c>
      <x:c r="J84" s="53" t="n">
        <x:v>5478.05</x:v>
      </x:c>
      <x:c r="K84" s="39"/>
      <x:c r="L84" s="39"/>
      <x:c r="M84" s="39"/>
      <x:c r="N84" s="39"/>
      <x:c r="O84" s="39"/>
    </x:row>
    <x:row r="85">
      <x:c r="A85" s="39" t="n">
        <x:v>46143</x:v>
      </x:c>
      <x:c r="B85" s="39" t="str">
        <x:v>EQUIP_MAINT</x:v>
      </x:c>
      <x:c r="C85" s="53" t="n">
        <x:v>1833.33</x:v>
      </x:c>
      <x:c r="D85" s="39"/>
      <x:c r="E85" s="39"/>
      <x:c r="F85" s="39" t="str">
        <x:v>EXP00035</x:v>
      </x:c>
      <x:c r="G85" s="39" t="n">
        <x:v>46143</x:v>
      </x:c>
      <x:c r="H85" s="39" t="str">
        <x:v>DOD-W81XWH</x:v>
      </x:c>
      <x:c r="I85" s="39" t="str">
        <x:v>LAB_SUPPLIES</x:v>
      </x:c>
      <x:c r="J85" s="53" t="n">
        <x:v>3965.59</x:v>
      </x:c>
      <x:c r="K85" s="39"/>
      <x:c r="L85" s="39"/>
      <x:c r="M85" s="39"/>
      <x:c r="N85" s="39"/>
      <x:c r="O85" s="39"/>
    </x:row>
    <x:row r="86">
      <x:c r="A86" s="39" t="n">
        <x:v>46174</x:v>
      </x:c>
      <x:c r="B86" s="39" t="str">
        <x:v>EQUIP_MAINT</x:v>
      </x:c>
      <x:c r="C86" s="53" t="n">
        <x:v>1833.33</x:v>
      </x:c>
      <x:c r="D86" s="39"/>
      <x:c r="E86" s="39"/>
      <x:c r="F86" s="39" t="str">
        <x:v>EXP00036</x:v>
      </x:c>
      <x:c r="G86" s="39" t="n">
        <x:v>46174</x:v>
      </x:c>
      <x:c r="H86" s="39" t="str">
        <x:v>PCORI-12345</x:v>
      </x:c>
      <x:c r="I86" s="39" t="str">
        <x:v>LAB_SUPPLIES</x:v>
      </x:c>
      <x:c r="J86" s="53" t="n">
        <x:v>872.41</x:v>
      </x:c>
      <x:c r="K86" s="39"/>
      <x:c r="L86" s="39"/>
      <x:c r="M86" s="39"/>
      <x:c r="N86" s="39"/>
      <x:c r="O86" s="39"/>
    </x:row>
    <x:row r="87">
      <x:c r="A87" s="39" t="n">
        <x:v>45839</x:v>
      </x:c>
      <x:c r="B87" s="39" t="str">
        <x:v>CORE_FACILITY</x:v>
      </x:c>
      <x:c r="C87" s="53" t="n">
        <x:v>2916.67</x:v>
      </x:c>
      <x:c r="D87" s="39"/>
      <x:c r="E87" s="39"/>
      <x:c r="F87" s="39" t="str">
        <x:v>EXP00037</x:v>
      </x:c>
      <x:c r="G87" s="39" t="n">
        <x:v>46174</x:v>
      </x:c>
      <x:c r="H87" s="39" t="str">
        <x:v>FDTN-CZ-891</x:v>
      </x:c>
      <x:c r="I87" s="39" t="str">
        <x:v>LAB_SUPPLIES</x:v>
      </x:c>
      <x:c r="J87" s="53" t="n">
        <x:v>17917.09</x:v>
      </x:c>
      <x:c r="K87" s="39"/>
      <x:c r="L87" s="39"/>
      <x:c r="M87" s="39"/>
      <x:c r="N87" s="39"/>
      <x:c r="O87" s="39"/>
    </x:row>
    <x:row r="88">
      <x:c r="A88" s="39" t="n">
        <x:v>45870</x:v>
      </x:c>
      <x:c r="B88" s="39" t="str">
        <x:v>CORE_FACILITY</x:v>
      </x:c>
      <x:c r="C88" s="53" t="n">
        <x:v>2916.67</x:v>
      </x:c>
      <x:c r="D88" s="39"/>
      <x:c r="E88" s="39"/>
      <x:c r="F88" s="39" t="str">
        <x:v>EXP00038</x:v>
      </x:c>
      <x:c r="G88" s="39" t="n">
        <x:v>45839</x:v>
      </x:c>
      <x:c r="H88" s="39" t="str">
        <x:v>NSF-2234567</x:v>
      </x:c>
      <x:c r="I88" s="39" t="str">
        <x:v>LAB_EQUIP</x:v>
      </x:c>
      <x:c r="J88" s="53" t="n">
        <x:v>171.54</x:v>
      </x:c>
      <x:c r="K88" s="39"/>
      <x:c r="L88" s="39"/>
      <x:c r="M88" s="39"/>
      <x:c r="N88" s="39"/>
      <x:c r="O88" s="39"/>
    </x:row>
    <x:row r="89">
      <x:c r="A89" s="39" t="n">
        <x:v>45901</x:v>
      </x:c>
      <x:c r="B89" s="39" t="str">
        <x:v>CORE_FACILITY</x:v>
      </x:c>
      <x:c r="C89" s="53" t="n">
        <x:v>2916.67</x:v>
      </x:c>
      <x:c r="D89" s="39"/>
      <x:c r="E89" s="39"/>
      <x:c r="F89" s="39" t="str">
        <x:v>EXP00039</x:v>
      </x:c>
      <x:c r="G89" s="39" t="n">
        <x:v>45839</x:v>
      </x:c>
      <x:c r="H89" s="39" t="str">
        <x:v>DOD-W81XWH</x:v>
      </x:c>
      <x:c r="I89" s="39" t="str">
        <x:v>LAB_EQUIP</x:v>
      </x:c>
      <x:c r="J89" s="53" t="n">
        <x:v>998.05</x:v>
      </x:c>
      <x:c r="K89" s="39"/>
      <x:c r="L89" s="39"/>
      <x:c r="M89" s="39"/>
      <x:c r="N89" s="39"/>
      <x:c r="O89" s="39"/>
    </x:row>
    <x:row r="90">
      <x:c r="A90" s="39" t="n">
        <x:v>45931</x:v>
      </x:c>
      <x:c r="B90" s="39" t="str">
        <x:v>CORE_FACILITY</x:v>
      </x:c>
      <x:c r="C90" s="53" t="n">
        <x:v>2916.67</x:v>
      </x:c>
      <x:c r="D90" s="39"/>
      <x:c r="E90" s="39"/>
      <x:c r="F90" s="39" t="str">
        <x:v>EXP00040</x:v>
      </x:c>
      <x:c r="G90" s="39" t="n">
        <x:v>45839</x:v>
      </x:c>
      <x:c r="H90" s="39" t="str">
        <x:v>PCORI-12345</x:v>
      </x:c>
      <x:c r="I90" s="39" t="str">
        <x:v>LAB_EQUIP</x:v>
      </x:c>
      <x:c r="J90" s="53" t="n">
        <x:v>537.45</x:v>
      </x:c>
      <x:c r="K90" s="39"/>
      <x:c r="L90" s="39"/>
      <x:c r="M90" s="39"/>
      <x:c r="N90" s="39"/>
      <x:c r="O90" s="39"/>
    </x:row>
    <x:row r="91">
      <x:c r="A91" s="39" t="n">
        <x:v>45962</x:v>
      </x:c>
      <x:c r="B91" s="39" t="str">
        <x:v>CORE_FACILITY</x:v>
      </x:c>
      <x:c r="C91" s="53" t="n">
        <x:v>2916.67</x:v>
      </x:c>
      <x:c r="D91" s="39"/>
      <x:c r="E91" s="39"/>
      <x:c r="F91" s="39" t="str">
        <x:v>EXP00041</x:v>
      </x:c>
      <x:c r="G91" s="39" t="n">
        <x:v>45870</x:v>
      </x:c>
      <x:c r="H91" s="39" t="str">
        <x:v>PCORI-12345</x:v>
      </x:c>
      <x:c r="I91" s="39" t="str">
        <x:v>LAB_EQUIP</x:v>
      </x:c>
      <x:c r="J91" s="53" t="n">
        <x:v>1400.81</x:v>
      </x:c>
      <x:c r="K91" s="39"/>
      <x:c r="L91" s="39"/>
      <x:c r="M91" s="39"/>
      <x:c r="N91" s="39"/>
      <x:c r="O91" s="39"/>
    </x:row>
    <x:row r="92">
      <x:c r="A92" s="39" t="n">
        <x:v>45992</x:v>
      </x:c>
      <x:c r="B92" s="39" t="str">
        <x:v>CORE_FACILITY</x:v>
      </x:c>
      <x:c r="C92" s="53" t="n">
        <x:v>2916.67</x:v>
      </x:c>
      <x:c r="D92" s="39"/>
      <x:c r="E92" s="39"/>
      <x:c r="F92" s="39" t="str">
        <x:v>EXP00042</x:v>
      </x:c>
      <x:c r="G92" s="39" t="n">
        <x:v>45870</x:v>
      </x:c>
      <x:c r="H92" s="39" t="str">
        <x:v>K99-AG054321</x:v>
      </x:c>
      <x:c r="I92" s="39" t="str">
        <x:v>LAB_EQUIP</x:v>
      </x:c>
      <x:c r="J92" s="53" t="n">
        <x:v>146.04</x:v>
      </x:c>
      <x:c r="K92" s="39"/>
      <x:c r="L92" s="39"/>
      <x:c r="M92" s="39"/>
      <x:c r="N92" s="39"/>
      <x:c r="O92" s="39"/>
    </x:row>
    <x:row r="93">
      <x:c r="A93" s="39" t="n">
        <x:v>46023</x:v>
      </x:c>
      <x:c r="B93" s="39" t="str">
        <x:v>CORE_FACILITY</x:v>
      </x:c>
      <x:c r="C93" s="53" t="n">
        <x:v>2916.67</x:v>
      </x:c>
      <x:c r="D93" s="39"/>
      <x:c r="E93" s="39"/>
      <x:c r="F93" s="39" t="str">
        <x:v>EXP00043</x:v>
      </x:c>
      <x:c r="G93" s="39" t="n">
        <x:v>45870</x:v>
      </x:c>
      <x:c r="H93" s="39" t="str">
        <x:v>DOD-W81XWH</x:v>
      </x:c>
      <x:c r="I93" s="39" t="str">
        <x:v>LAB_EQUIP</x:v>
      </x:c>
      <x:c r="J93" s="53" t="n">
        <x:v>1138.57</x:v>
      </x:c>
      <x:c r="K93" s="39"/>
      <x:c r="L93" s="39"/>
      <x:c r="M93" s="39"/>
      <x:c r="N93" s="39"/>
      <x:c r="O93" s="39"/>
    </x:row>
    <x:row r="94">
      <x:c r="A94" s="39" t="n">
        <x:v>46054</x:v>
      </x:c>
      <x:c r="B94" s="39" t="str">
        <x:v>CORE_FACILITY</x:v>
      </x:c>
      <x:c r="C94" s="53" t="n">
        <x:v>2916.67</x:v>
      </x:c>
      <x:c r="D94" s="39"/>
      <x:c r="E94" s="39"/>
      <x:c r="F94" s="39" t="str">
        <x:v>EXP00044</x:v>
      </x:c>
      <x:c r="G94" s="39" t="n">
        <x:v>45870</x:v>
      </x:c>
      <x:c r="H94" s="39" t="str">
        <x:v>NSF-2234567</x:v>
      </x:c>
      <x:c r="I94" s="39" t="str">
        <x:v>LAB_EQUIP</x:v>
      </x:c>
      <x:c r="J94" s="53" t="n">
        <x:v>1073.55</x:v>
      </x:c>
      <x:c r="K94" s="39"/>
      <x:c r="L94" s="39"/>
      <x:c r="M94" s="39"/>
      <x:c r="N94" s="39"/>
      <x:c r="O94" s="39"/>
    </x:row>
    <x:row r="95">
      <x:c r="A95" s="39" t="n">
        <x:v>46082</x:v>
      </x:c>
      <x:c r="B95" s="39" t="str">
        <x:v>CORE_FACILITY</x:v>
      </x:c>
      <x:c r="C95" s="53" t="n">
        <x:v>2916.67</x:v>
      </x:c>
      <x:c r="D95" s="39"/>
      <x:c r="E95" s="39"/>
      <x:c r="F95" s="39" t="str">
        <x:v>EXP00045</x:v>
      </x:c>
      <x:c r="G95" s="39" t="n">
        <x:v>45901</x:v>
      </x:c>
      <x:c r="H95" s="39" t="str">
        <x:v>PCORI-12345</x:v>
      </x:c>
      <x:c r="I95" s="39" t="str">
        <x:v>LAB_EQUIP</x:v>
      </x:c>
      <x:c r="J95" s="53" t="n">
        <x:v>2366.5</x:v>
      </x:c>
      <x:c r="K95" s="39"/>
      <x:c r="L95" s="39"/>
      <x:c r="M95" s="39"/>
      <x:c r="N95" s="39"/>
      <x:c r="O95" s="39"/>
    </x:row>
    <x:row r="96">
      <x:c r="A96" s="39" t="n">
        <x:v>46113</x:v>
      </x:c>
      <x:c r="B96" s="39" t="str">
        <x:v>CORE_FACILITY</x:v>
      </x:c>
      <x:c r="C96" s="53" t="n">
        <x:v>2916.67</x:v>
      </x:c>
      <x:c r="D96" s="39"/>
      <x:c r="E96" s="39"/>
      <x:c r="F96" s="39" t="str">
        <x:v>EXP00046</x:v>
      </x:c>
      <x:c r="G96" s="39" t="n">
        <x:v>45901</x:v>
      </x:c>
      <x:c r="H96" s="39" t="str">
        <x:v>DOD-W81XWH</x:v>
      </x:c>
      <x:c r="I96" s="39" t="str">
        <x:v>LAB_EQUIP</x:v>
      </x:c>
      <x:c r="J96" s="53" t="n">
        <x:v>2152.23</x:v>
      </x:c>
      <x:c r="K96" s="39"/>
      <x:c r="L96" s="39"/>
      <x:c r="M96" s="39"/>
      <x:c r="N96" s="39"/>
      <x:c r="O96" s="39"/>
    </x:row>
    <x:row r="97">
      <x:c r="A97" s="39" t="n">
        <x:v>46143</x:v>
      </x:c>
      <x:c r="B97" s="39" t="str">
        <x:v>CORE_FACILITY</x:v>
      </x:c>
      <x:c r="C97" s="53" t="n">
        <x:v>2916.67</x:v>
      </x:c>
      <x:c r="D97" s="39"/>
      <x:c r="E97" s="39"/>
      <x:c r="F97" s="39" t="str">
        <x:v>EXP00047</x:v>
      </x:c>
      <x:c r="G97" s="39" t="n">
        <x:v>45901</x:v>
      </x:c>
      <x:c r="H97" s="39" t="str">
        <x:v>K99-AG054321</x:v>
      </x:c>
      <x:c r="I97" s="39" t="str">
        <x:v>LAB_EQUIP</x:v>
      </x:c>
      <x:c r="J97" s="53" t="n">
        <x:v>728.38</x:v>
      </x:c>
      <x:c r="K97" s="39"/>
      <x:c r="L97" s="39"/>
      <x:c r="M97" s="39"/>
      <x:c r="N97" s="39"/>
      <x:c r="O97" s="39"/>
    </x:row>
    <x:row r="98">
      <x:c r="A98" s="39" t="n">
        <x:v>46174</x:v>
      </x:c>
      <x:c r="B98" s="39" t="str">
        <x:v>CORE_FACILITY</x:v>
      </x:c>
      <x:c r="C98" s="53" t="n">
        <x:v>2916.67</x:v>
      </x:c>
      <x:c r="D98" s="39"/>
      <x:c r="E98" s="39"/>
      <x:c r="F98" s="39" t="str">
        <x:v>EXP00048</x:v>
      </x:c>
      <x:c r="G98" s="39" t="n">
        <x:v>45931</x:v>
      </x:c>
      <x:c r="H98" s="39" t="str">
        <x:v>DOD-W81XWH</x:v>
      </x:c>
      <x:c r="I98" s="39" t="str">
        <x:v>LAB_EQUIP</x:v>
      </x:c>
      <x:c r="J98" s="53" t="n">
        <x:v>2713.79</x:v>
      </x:c>
      <x:c r="K98" s="39"/>
      <x:c r="L98" s="39"/>
      <x:c r="M98" s="39"/>
      <x:c r="N98" s="39"/>
      <x:c r="O98" s="39"/>
    </x:row>
    <x:row r="99">
      <x:c r="A99" s="39" t="n">
        <x:v>45839</x:v>
      </x:c>
      <x:c r="B99" s="39" t="str">
        <x:v>LAB_SAFETY</x:v>
      </x:c>
      <x:c r="C99" s="53" t="n">
        <x:v>708.33</x:v>
      </x:c>
      <x:c r="D99" s="39"/>
      <x:c r="E99" s="39"/>
      <x:c r="F99" s="39" t="str">
        <x:v>EXP00049</x:v>
      </x:c>
      <x:c r="G99" s="39" t="n">
        <x:v>45931</x:v>
      </x:c>
      <x:c r="H99" s="39" t="str">
        <x:v>R01-HL145821</x:v>
      </x:c>
      <x:c r="I99" s="39" t="str">
        <x:v>LAB_EQUIP</x:v>
      </x:c>
      <x:c r="J99" s="53" t="n">
        <x:v>401.83</x:v>
      </x:c>
      <x:c r="K99" s="39"/>
      <x:c r="L99" s="39"/>
      <x:c r="M99" s="39"/>
      <x:c r="N99" s="39"/>
      <x:c r="O99" s="39"/>
    </x:row>
    <x:row r="100">
      <x:c r="A100" s="39" t="n">
        <x:v>45870</x:v>
      </x:c>
      <x:c r="B100" s="39" t="str">
        <x:v>LAB_SAFETY</x:v>
      </x:c>
      <x:c r="C100" s="53" t="n">
        <x:v>708.33</x:v>
      </x:c>
      <x:c r="D100" s="39"/>
      <x:c r="E100" s="39"/>
      <x:c r="F100" s="39" t="str">
        <x:v>EXP00050</x:v>
      </x:c>
      <x:c r="G100" s="39" t="n">
        <x:v>45931</x:v>
      </x:c>
      <x:c r="H100" s="39" t="str">
        <x:v>FDTN-CZ-891</x:v>
      </x:c>
      <x:c r="I100" s="39" t="str">
        <x:v>LAB_EQUIP</x:v>
      </x:c>
      <x:c r="J100" s="53" t="n">
        <x:v>2163.45</x:v>
      </x:c>
      <x:c r="K100" s="39"/>
      <x:c r="L100" s="39"/>
      <x:c r="M100" s="39"/>
      <x:c r="N100" s="39"/>
      <x:c r="O100" s="39"/>
    </x:row>
    <x:row r="101">
      <x:c r="A101" s="39" t="n">
        <x:v>45901</x:v>
      </x:c>
      <x:c r="B101" s="39" t="str">
        <x:v>LAB_SAFETY</x:v>
      </x:c>
      <x:c r="C101" s="53" t="n">
        <x:v>708.33</x:v>
      </x:c>
      <x:c r="D101" s="39"/>
      <x:c r="E101" s="39"/>
      <x:c r="F101" s="39" t="str">
        <x:v>EXP00051</x:v>
      </x:c>
      <x:c r="G101" s="39" t="n">
        <x:v>45962</x:v>
      </x:c>
      <x:c r="H101" s="39" t="str">
        <x:v>NSF-2234567</x:v>
      </x:c>
      <x:c r="I101" s="39" t="str">
        <x:v>LAB_EQUIP</x:v>
      </x:c>
      <x:c r="J101" s="53" t="n">
        <x:v>999.71</x:v>
      </x:c>
      <x:c r="K101" s="39"/>
      <x:c r="L101" s="39"/>
      <x:c r="M101" s="39"/>
      <x:c r="N101" s="39"/>
      <x:c r="O101" s="39"/>
    </x:row>
    <x:row r="102">
      <x:c r="A102" s="39" t="n">
        <x:v>45931</x:v>
      </x:c>
      <x:c r="B102" s="39" t="str">
        <x:v>LAB_SAFETY</x:v>
      </x:c>
      <x:c r="C102" s="53" t="n">
        <x:v>708.33</x:v>
      </x:c>
      <x:c r="D102" s="39"/>
      <x:c r="E102" s="39"/>
      <x:c r="F102" s="39" t="str">
        <x:v>EXP00052</x:v>
      </x:c>
      <x:c r="G102" s="39" t="n">
        <x:v>45962</x:v>
      </x:c>
      <x:c r="H102" s="39" t="str">
        <x:v>DOD-W81XWH</x:v>
      </x:c>
      <x:c r="I102" s="39" t="str">
        <x:v>LAB_EQUIP</x:v>
      </x:c>
      <x:c r="J102" s="53" t="n">
        <x:v>898.31</x:v>
      </x:c>
      <x:c r="K102" s="39"/>
      <x:c r="L102" s="39"/>
      <x:c r="M102" s="39"/>
      <x:c r="N102" s="39"/>
      <x:c r="O102" s="39"/>
    </x:row>
    <x:row r="103">
      <x:c r="A103" s="39" t="n">
        <x:v>45962</x:v>
      </x:c>
      <x:c r="B103" s="39" t="str">
        <x:v>LAB_SAFETY</x:v>
      </x:c>
      <x:c r="C103" s="53" t="n">
        <x:v>708.33</x:v>
      </x:c>
      <x:c r="D103" s="39"/>
      <x:c r="E103" s="39"/>
      <x:c r="F103" s="39" t="str">
        <x:v>EXP00053</x:v>
      </x:c>
      <x:c r="G103" s="39" t="n">
        <x:v>45962</x:v>
      </x:c>
      <x:c r="H103" s="39" t="str">
        <x:v>R01-CA198765</x:v>
      </x:c>
      <x:c r="I103" s="39" t="str">
        <x:v>LAB_EQUIP</x:v>
      </x:c>
      <x:c r="J103" s="53" t="n">
        <x:v>1070</x:v>
      </x:c>
      <x:c r="K103" s="39"/>
      <x:c r="L103" s="39"/>
      <x:c r="M103" s="39"/>
      <x:c r="N103" s="39"/>
      <x:c r="O103" s="39"/>
    </x:row>
    <x:row r="104">
      <x:c r="A104" s="39" t="n">
        <x:v>45992</x:v>
      </x:c>
      <x:c r="B104" s="39" t="str">
        <x:v>LAB_SAFETY</x:v>
      </x:c>
      <x:c r="C104" s="53" t="n">
        <x:v>708.33</x:v>
      </x:c>
      <x:c r="D104" s="39"/>
      <x:c r="E104" s="39"/>
      <x:c r="F104" s="39" t="str">
        <x:v>EXP00054</x:v>
      </x:c>
      <x:c r="G104" s="39" t="n">
        <x:v>45962</x:v>
      </x:c>
      <x:c r="H104" s="39" t="str">
        <x:v>FDTN-CZ-891</x:v>
      </x:c>
      <x:c r="I104" s="39" t="str">
        <x:v>LAB_EQUIP</x:v>
      </x:c>
      <x:c r="J104" s="53" t="n">
        <x:v>398.05</x:v>
      </x:c>
      <x:c r="K104" s="39"/>
      <x:c r="L104" s="39"/>
      <x:c r="M104" s="39"/>
      <x:c r="N104" s="39"/>
      <x:c r="O104" s="39"/>
    </x:row>
    <x:row r="105">
      <x:c r="A105" s="39" t="n">
        <x:v>46023</x:v>
      </x:c>
      <x:c r="B105" s="39" t="str">
        <x:v>LAB_SAFETY</x:v>
      </x:c>
      <x:c r="C105" s="53" t="n">
        <x:v>708.33</x:v>
      </x:c>
      <x:c r="D105" s="39"/>
      <x:c r="E105" s="39"/>
      <x:c r="F105" s="39" t="str">
        <x:v>EXP00055</x:v>
      </x:c>
      <x:c r="G105" s="39" t="n">
        <x:v>45992</x:v>
      </x:c>
      <x:c r="H105" s="39" t="str">
        <x:v>NSF-2234567</x:v>
      </x:c>
      <x:c r="I105" s="39" t="str">
        <x:v>LAB_EQUIP</x:v>
      </x:c>
      <x:c r="J105" s="53" t="n">
        <x:v>1470.55</x:v>
      </x:c>
      <x:c r="K105" s="39"/>
      <x:c r="L105" s="39"/>
      <x:c r="M105" s="39"/>
      <x:c r="N105" s="39"/>
      <x:c r="O105" s="39"/>
    </x:row>
    <x:row r="106">
      <x:c r="A106" s="39" t="n">
        <x:v>46054</x:v>
      </x:c>
      <x:c r="B106" s="39" t="str">
        <x:v>LAB_SAFETY</x:v>
      </x:c>
      <x:c r="C106" s="53" t="n">
        <x:v>708.33</x:v>
      </x:c>
      <x:c r="D106" s="39"/>
      <x:c r="E106" s="39"/>
      <x:c r="F106" s="39" t="str">
        <x:v>EXP00056</x:v>
      </x:c>
      <x:c r="G106" s="39" t="n">
        <x:v>45992</x:v>
      </x:c>
      <x:c r="H106" s="39" t="str">
        <x:v>DOD-W81XWH</x:v>
      </x:c>
      <x:c r="I106" s="39" t="str">
        <x:v>LAB_EQUIP</x:v>
      </x:c>
      <x:c r="J106" s="53" t="n">
        <x:v>642.31</x:v>
      </x:c>
      <x:c r="K106" s="39"/>
      <x:c r="L106" s="39"/>
      <x:c r="M106" s="39"/>
      <x:c r="N106" s="39"/>
      <x:c r="O106" s="39"/>
    </x:row>
    <x:row r="107">
      <x:c r="A107" s="39" t="n">
        <x:v>46082</x:v>
      </x:c>
      <x:c r="B107" s="39" t="str">
        <x:v>LAB_SAFETY</x:v>
      </x:c>
      <x:c r="C107" s="53" t="n">
        <x:v>708.33</x:v>
      </x:c>
      <x:c r="D107" s="39"/>
      <x:c r="E107" s="39"/>
      <x:c r="F107" s="39" t="str">
        <x:v>EXP00057</x:v>
      </x:c>
      <x:c r="G107" s="39" t="n">
        <x:v>45992</x:v>
      </x:c>
      <x:c r="H107" s="39" t="str">
        <x:v>K99-AG054321</x:v>
      </x:c>
      <x:c r="I107" s="39" t="str">
        <x:v>LAB_EQUIP</x:v>
      </x:c>
      <x:c r="J107" s="53" t="n">
        <x:v>65.41</x:v>
      </x:c>
      <x:c r="K107" s="39"/>
      <x:c r="L107" s="39"/>
      <x:c r="M107" s="39"/>
      <x:c r="N107" s="39"/>
      <x:c r="O107" s="39"/>
    </x:row>
    <x:row r="108">
      <x:c r="A108" s="39" t="n">
        <x:v>46113</x:v>
      </x:c>
      <x:c r="B108" s="39" t="str">
        <x:v>LAB_SAFETY</x:v>
      </x:c>
      <x:c r="C108" s="53" t="n">
        <x:v>708.33</x:v>
      </x:c>
      <x:c r="D108" s="39"/>
      <x:c r="E108" s="39"/>
      <x:c r="F108" s="39" t="str">
        <x:v>EXP00058</x:v>
      </x:c>
      <x:c r="G108" s="39" t="n">
        <x:v>45992</x:v>
      </x:c>
      <x:c r="H108" s="39" t="str">
        <x:v>R01-CA198765</x:v>
      </x:c>
      <x:c r="I108" s="39" t="str">
        <x:v>LAB_EQUIP</x:v>
      </x:c>
      <x:c r="J108" s="53" t="n">
        <x:v>388.85</x:v>
      </x:c>
      <x:c r="K108" s="39"/>
      <x:c r="L108" s="39"/>
      <x:c r="M108" s="39"/>
      <x:c r="N108" s="39"/>
      <x:c r="O108" s="39"/>
    </x:row>
    <x:row r="109">
      <x:c r="A109" s="39" t="n">
        <x:v>46143</x:v>
      </x:c>
      <x:c r="B109" s="39" t="str">
        <x:v>LAB_SAFETY</x:v>
      </x:c>
      <x:c r="C109" s="53" t="n">
        <x:v>708.33</x:v>
      </x:c>
      <x:c r="D109" s="39"/>
      <x:c r="E109" s="39"/>
      <x:c r="F109" s="39" t="str">
        <x:v>EXP00059</x:v>
      </x:c>
      <x:c r="G109" s="39" t="n">
        <x:v>46023</x:v>
      </x:c>
      <x:c r="H109" s="39" t="str">
        <x:v>DOD-W81XWH</x:v>
      </x:c>
      <x:c r="I109" s="39" t="str">
        <x:v>LAB_EQUIP</x:v>
      </x:c>
      <x:c r="J109" s="53" t="n">
        <x:v>620.18</x:v>
      </x:c>
      <x:c r="K109" s="39"/>
      <x:c r="L109" s="39"/>
      <x:c r="M109" s="39"/>
      <x:c r="N109" s="39"/>
      <x:c r="O109" s="39"/>
    </x:row>
    <x:row r="110">
      <x:c r="A110" s="39" t="n">
        <x:v>46174</x:v>
      </x:c>
      <x:c r="B110" s="39" t="str">
        <x:v>LAB_SAFETY</x:v>
      </x:c>
      <x:c r="C110" s="53" t="n">
        <x:v>708.33</x:v>
      </x:c>
      <x:c r="D110" s="39"/>
      <x:c r="E110" s="39"/>
      <x:c r="F110" s="39" t="str">
        <x:v>EXP00060</x:v>
      </x:c>
      <x:c r="G110" s="39" t="n">
        <x:v>46023</x:v>
      </x:c>
      <x:c r="H110" s="39" t="str">
        <x:v>FDTN-CZ-891</x:v>
      </x:c>
      <x:c r="I110" s="39" t="str">
        <x:v>LAB_EQUIP</x:v>
      </x:c>
      <x:c r="J110" s="53" t="n">
        <x:v>739.03</x:v>
      </x:c>
      <x:c r="K110" s="39"/>
      <x:c r="L110" s="39"/>
      <x:c r="M110" s="39"/>
      <x:c r="N110" s="39"/>
      <x:c r="O110" s="39"/>
    </x:row>
    <x:row r="111">
      <x:c r="A111" s="39" t="n">
        <x:v>45839</x:v>
      </x:c>
      <x:c r="B111" s="39" t="str">
        <x:v>SUBCONTRACTS</x:v>
      </x:c>
      <x:c r="C111" s="53" t="n">
        <x:v>6000</x:v>
      </x:c>
      <x:c r="D111" s="39"/>
      <x:c r="E111" s="39"/>
      <x:c r="F111" s="39" t="str">
        <x:v>EXP00061</x:v>
      </x:c>
      <x:c r="G111" s="39" t="n">
        <x:v>46023</x:v>
      </x:c>
      <x:c r="H111" s="39" t="str">
        <x:v>NSF-2234567</x:v>
      </x:c>
      <x:c r="I111" s="39" t="str">
        <x:v>LAB_EQUIP</x:v>
      </x:c>
      <x:c r="J111" s="53" t="n">
        <x:v>334.33</x:v>
      </x:c>
      <x:c r="K111" s="39"/>
      <x:c r="L111" s="39"/>
      <x:c r="M111" s="39"/>
      <x:c r="N111" s="39"/>
      <x:c r="O111" s="39"/>
    </x:row>
    <x:row r="112">
      <x:c r="A112" s="39" t="n">
        <x:v>45870</x:v>
      </x:c>
      <x:c r="B112" s="39" t="str">
        <x:v>SUBCONTRACTS</x:v>
      </x:c>
      <x:c r="C112" s="53" t="n">
        <x:v>6000</x:v>
      </x:c>
      <x:c r="D112" s="39"/>
      <x:c r="E112" s="39"/>
      <x:c r="F112" s="39" t="str">
        <x:v>EXP00062</x:v>
      </x:c>
      <x:c r="G112" s="39" t="n">
        <x:v>46023</x:v>
      </x:c>
      <x:c r="H112" s="39" t="str">
        <x:v>R01-HL145821</x:v>
      </x:c>
      <x:c r="I112" s="39" t="str">
        <x:v>LAB_EQUIP</x:v>
      </x:c>
      <x:c r="J112" s="53" t="n">
        <x:v>659.54</x:v>
      </x:c>
      <x:c r="K112" s="39"/>
      <x:c r="L112" s="39"/>
      <x:c r="M112" s="39"/>
      <x:c r="N112" s="39"/>
      <x:c r="O112" s="39"/>
    </x:row>
    <x:row r="113">
      <x:c r="A113" s="39" t="n">
        <x:v>45901</x:v>
      </x:c>
      <x:c r="B113" s="39" t="str">
        <x:v>SUBCONTRACTS</x:v>
      </x:c>
      <x:c r="C113" s="53" t="n">
        <x:v>6000</x:v>
      </x:c>
      <x:c r="D113" s="39"/>
      <x:c r="E113" s="39"/>
      <x:c r="F113" s="39" t="str">
        <x:v>EXP00063</x:v>
      </x:c>
      <x:c r="G113" s="39" t="n">
        <x:v>46054</x:v>
      </x:c>
      <x:c r="H113" s="39" t="str">
        <x:v>R01-HL145821</x:v>
      </x:c>
      <x:c r="I113" s="39" t="str">
        <x:v>LAB_EQUIP</x:v>
      </x:c>
      <x:c r="J113" s="53" t="n">
        <x:v>2241.73</x:v>
      </x:c>
      <x:c r="K113" s="39"/>
      <x:c r="L113" s="39"/>
      <x:c r="M113" s="39"/>
      <x:c r="N113" s="39"/>
      <x:c r="O113" s="39"/>
    </x:row>
    <x:row r="114">
      <x:c r="A114" s="39" t="n">
        <x:v>45931</x:v>
      </x:c>
      <x:c r="B114" s="39" t="str">
        <x:v>SUBCONTRACTS</x:v>
      </x:c>
      <x:c r="C114" s="53" t="n">
        <x:v>6000</x:v>
      </x:c>
      <x:c r="D114" s="39"/>
      <x:c r="E114" s="39"/>
      <x:c r="F114" s="39" t="str">
        <x:v>EXP00064</x:v>
      </x:c>
      <x:c r="G114" s="39" t="n">
        <x:v>46054</x:v>
      </x:c>
      <x:c r="H114" s="39" t="str">
        <x:v>PCORI-12345</x:v>
      </x:c>
      <x:c r="I114" s="39" t="str">
        <x:v>LAB_EQUIP</x:v>
      </x:c>
      <x:c r="J114" s="53" t="n">
        <x:v>1882.65</x:v>
      </x:c>
      <x:c r="K114" s="39"/>
      <x:c r="L114" s="39"/>
      <x:c r="M114" s="39"/>
      <x:c r="N114" s="39"/>
      <x:c r="O114" s="39"/>
    </x:row>
    <x:row r="115">
      <x:c r="A115" s="39" t="n">
        <x:v>45962</x:v>
      </x:c>
      <x:c r="B115" s="39" t="str">
        <x:v>SUBCONTRACTS</x:v>
      </x:c>
      <x:c r="C115" s="53" t="n">
        <x:v>6000</x:v>
      </x:c>
      <x:c r="D115" s="39"/>
      <x:c r="E115" s="39"/>
      <x:c r="F115" s="39" t="str">
        <x:v>EXP00065</x:v>
      </x:c>
      <x:c r="G115" s="39" t="n">
        <x:v>46082</x:v>
      </x:c>
      <x:c r="H115" s="39" t="str">
        <x:v>R01-CA198765</x:v>
      </x:c>
      <x:c r="I115" s="39" t="str">
        <x:v>LAB_EQUIP</x:v>
      </x:c>
      <x:c r="J115" s="53" t="n">
        <x:v>404.75</x:v>
      </x:c>
      <x:c r="K115" s="39"/>
      <x:c r="L115" s="39"/>
      <x:c r="M115" s="39"/>
      <x:c r="N115" s="39"/>
      <x:c r="O115" s="39"/>
    </x:row>
    <x:row r="116">
      <x:c r="A116" s="39" t="n">
        <x:v>45992</x:v>
      </x:c>
      <x:c r="B116" s="39" t="str">
        <x:v>SUBCONTRACTS</x:v>
      </x:c>
      <x:c r="C116" s="53" t="n">
        <x:v>6000</x:v>
      </x:c>
      <x:c r="D116" s="39"/>
      <x:c r="E116" s="39"/>
      <x:c r="F116" s="39" t="str">
        <x:v>EXP00066</x:v>
      </x:c>
      <x:c r="G116" s="39" t="n">
        <x:v>46082</x:v>
      </x:c>
      <x:c r="H116" s="39" t="str">
        <x:v>FDTN-CZ-891</x:v>
      </x:c>
      <x:c r="I116" s="39" t="str">
        <x:v>LAB_EQUIP</x:v>
      </x:c>
      <x:c r="J116" s="53" t="n">
        <x:v>1705.04</x:v>
      </x:c>
      <x:c r="K116" s="39"/>
      <x:c r="L116" s="39"/>
      <x:c r="M116" s="39"/>
      <x:c r="N116" s="39"/>
      <x:c r="O116" s="39"/>
    </x:row>
    <x:row r="117">
      <x:c r="A117" s="39" t="n">
        <x:v>46023</x:v>
      </x:c>
      <x:c r="B117" s="39" t="str">
        <x:v>SUBCONTRACTS</x:v>
      </x:c>
      <x:c r="C117" s="53" t="n">
        <x:v>6000</x:v>
      </x:c>
      <x:c r="D117" s="39"/>
      <x:c r="E117" s="39"/>
      <x:c r="F117" s="39" t="str">
        <x:v>EXP00067</x:v>
      </x:c>
      <x:c r="G117" s="39" t="n">
        <x:v>46082</x:v>
      </x:c>
      <x:c r="H117" s="39" t="str">
        <x:v>NSF-2234567</x:v>
      </x:c>
      <x:c r="I117" s="39" t="str">
        <x:v>LAB_EQUIP</x:v>
      </x:c>
      <x:c r="J117" s="53" t="n">
        <x:v>2634.57</x:v>
      </x:c>
      <x:c r="K117" s="39"/>
      <x:c r="L117" s="39"/>
      <x:c r="M117" s="39"/>
      <x:c r="N117" s="39"/>
      <x:c r="O117" s="39"/>
    </x:row>
    <x:row r="118">
      <x:c r="A118" s="39" t="n">
        <x:v>46054</x:v>
      </x:c>
      <x:c r="B118" s="39" t="str">
        <x:v>SUBCONTRACTS</x:v>
      </x:c>
      <x:c r="C118" s="53" t="n">
        <x:v>6000</x:v>
      </x:c>
      <x:c r="D118" s="39"/>
      <x:c r="E118" s="39"/>
      <x:c r="F118" s="39" t="str">
        <x:v>EXP00068</x:v>
      </x:c>
      <x:c r="G118" s="39" t="n">
        <x:v>46113</x:v>
      </x:c>
      <x:c r="H118" s="39" t="str">
        <x:v>R01-CA198765</x:v>
      </x:c>
      <x:c r="I118" s="39" t="str">
        <x:v>LAB_EQUIP</x:v>
      </x:c>
      <x:c r="J118" s="53" t="n">
        <x:v>1653.79</x:v>
      </x:c>
      <x:c r="K118" s="39"/>
      <x:c r="L118" s="39"/>
      <x:c r="M118" s="39"/>
      <x:c r="N118" s="39"/>
      <x:c r="O118" s="39"/>
    </x:row>
    <x:row r="119">
      <x:c r="A119" s="39" t="n">
        <x:v>46082</x:v>
      </x:c>
      <x:c r="B119" s="39" t="str">
        <x:v>SUBCONTRACTS</x:v>
      </x:c>
      <x:c r="C119" s="53" t="n">
        <x:v>6000</x:v>
      </x:c>
      <x:c r="D119" s="39"/>
      <x:c r="E119" s="39"/>
      <x:c r="F119" s="39" t="str">
        <x:v>EXP00069</x:v>
      </x:c>
      <x:c r="G119" s="39" t="n">
        <x:v>46113</x:v>
      </x:c>
      <x:c r="H119" s="39" t="str">
        <x:v>R01-HL145821</x:v>
      </x:c>
      <x:c r="I119" s="39" t="str">
        <x:v>LAB_EQUIP</x:v>
      </x:c>
      <x:c r="J119" s="53" t="n">
        <x:v>1764.63</x:v>
      </x:c>
      <x:c r="K119" s="39"/>
      <x:c r="L119" s="39"/>
      <x:c r="M119" s="39"/>
      <x:c r="N119" s="39"/>
      <x:c r="O119" s="39"/>
    </x:row>
    <x:row r="120">
      <x:c r="A120" s="39" t="n">
        <x:v>46113</x:v>
      </x:c>
      <x:c r="B120" s="39" t="str">
        <x:v>SUBCONTRACTS</x:v>
      </x:c>
      <x:c r="C120" s="53" t="n">
        <x:v>6000</x:v>
      </x:c>
      <x:c r="D120" s="39"/>
      <x:c r="E120" s="39"/>
      <x:c r="F120" s="39" t="str">
        <x:v>EXP00070</x:v>
      </x:c>
      <x:c r="G120" s="39" t="n">
        <x:v>46113</x:v>
      </x:c>
      <x:c r="H120" s="39" t="str">
        <x:v>PCORI-12345</x:v>
      </x:c>
      <x:c r="I120" s="39" t="str">
        <x:v>LAB_EQUIP</x:v>
      </x:c>
      <x:c r="J120" s="53" t="n">
        <x:v>815.62</x:v>
      </x:c>
      <x:c r="K120" s="39"/>
      <x:c r="L120" s="39"/>
      <x:c r="M120" s="39"/>
      <x:c r="N120" s="39"/>
      <x:c r="O120" s="39"/>
    </x:row>
    <x:row r="121">
      <x:c r="A121" s="39" t="n">
        <x:v>46143</x:v>
      </x:c>
      <x:c r="B121" s="39" t="str">
        <x:v>SUBCONTRACTS</x:v>
      </x:c>
      <x:c r="C121" s="53" t="n">
        <x:v>6000</x:v>
      </x:c>
      <x:c r="D121" s="39"/>
      <x:c r="E121" s="39"/>
      <x:c r="F121" s="39" t="str">
        <x:v>EXP00071</x:v>
      </x:c>
      <x:c r="G121" s="39" t="n">
        <x:v>46143</x:v>
      </x:c>
      <x:c r="H121" s="39" t="str">
        <x:v>DOD-W81XWH</x:v>
      </x:c>
      <x:c r="I121" s="39" t="str">
        <x:v>LAB_EQUIP</x:v>
      </x:c>
      <x:c r="J121" s="53" t="n">
        <x:v>1440.49</x:v>
      </x:c>
      <x:c r="K121" s="39"/>
      <x:c r="L121" s="39"/>
      <x:c r="M121" s="39"/>
      <x:c r="N121" s="39"/>
      <x:c r="O121" s="39"/>
    </x:row>
    <x:row r="122">
      <x:c r="A122" s="39" t="n">
        <x:v>46174</x:v>
      </x:c>
      <x:c r="B122" s="39" t="str">
        <x:v>SUBCONTRACTS</x:v>
      </x:c>
      <x:c r="C122" s="53" t="n">
        <x:v>6000</x:v>
      </x:c>
      <x:c r="D122" s="39"/>
      <x:c r="E122" s="39"/>
      <x:c r="F122" s="39" t="str">
        <x:v>EXP00072</x:v>
      </x:c>
      <x:c r="G122" s="39" t="n">
        <x:v>46143</x:v>
      </x:c>
      <x:c r="H122" s="39" t="str">
        <x:v>FDTN-CZ-891</x:v>
      </x:c>
      <x:c r="I122" s="39" t="str">
        <x:v>LAB_EQUIP</x:v>
      </x:c>
      <x:c r="J122" s="53" t="n">
        <x:v>892.48</x:v>
      </x:c>
      <x:c r="K122" s="39"/>
      <x:c r="L122" s="39"/>
      <x:c r="M122" s="39"/>
      <x:c r="N122" s="39"/>
      <x:c r="O122" s="39"/>
    </x:row>
    <x:row r="123">
      <x:c r="A123" s="39" t="n">
        <x:v>45839</x:v>
      </x:c>
      <x:c r="B123" s="39" t="str">
        <x:v>ANIMAL_CARE</x:v>
      </x:c>
      <x:c r="C123" s="53" t="n">
        <x:v>3500</x:v>
      </x:c>
      <x:c r="D123" s="39"/>
      <x:c r="E123" s="39"/>
      <x:c r="F123" s="39" t="str">
        <x:v>EXP00073</x:v>
      </x:c>
      <x:c r="G123" s="39" t="n">
        <x:v>46143</x:v>
      </x:c>
      <x:c r="H123" s="39" t="str">
        <x:v>PCORI-12345</x:v>
      </x:c>
      <x:c r="I123" s="39" t="str">
        <x:v>LAB_EQUIP</x:v>
      </x:c>
      <x:c r="J123" s="53" t="n">
        <x:v>1482.3</x:v>
      </x:c>
      <x:c r="K123" s="39"/>
      <x:c r="L123" s="39"/>
      <x:c r="M123" s="39"/>
      <x:c r="N123" s="39"/>
      <x:c r="O123" s="39"/>
    </x:row>
    <x:row r="124">
      <x:c r="A124" s="39" t="n">
        <x:v>45870</x:v>
      </x:c>
      <x:c r="B124" s="39" t="str">
        <x:v>ANIMAL_CARE</x:v>
      </x:c>
      <x:c r="C124" s="53" t="n">
        <x:v>3500</x:v>
      </x:c>
      <x:c r="D124" s="39"/>
      <x:c r="E124" s="39"/>
      <x:c r="F124" s="39" t="str">
        <x:v>EXP00074</x:v>
      </x:c>
      <x:c r="G124" s="39" t="n">
        <x:v>46174</x:v>
      </x:c>
      <x:c r="H124" s="39" t="str">
        <x:v>K99-AG054321</x:v>
      </x:c>
      <x:c r="I124" s="39" t="str">
        <x:v>LAB_EQUIP</x:v>
      </x:c>
      <x:c r="J124" s="53" t="n">
        <x:v>710.4</x:v>
      </x:c>
      <x:c r="K124" s="39"/>
      <x:c r="L124" s="39"/>
      <x:c r="M124" s="39"/>
      <x:c r="N124" s="39"/>
      <x:c r="O124" s="39"/>
    </x:row>
    <x:row r="125">
      <x:c r="A125" s="39" t="n">
        <x:v>45901</x:v>
      </x:c>
      <x:c r="B125" s="39" t="str">
        <x:v>ANIMAL_CARE</x:v>
      </x:c>
      <x:c r="C125" s="53" t="n">
        <x:v>3500</x:v>
      </x:c>
      <x:c r="D125" s="39"/>
      <x:c r="E125" s="39"/>
      <x:c r="F125" s="39" t="str">
        <x:v>EXP00075</x:v>
      </x:c>
      <x:c r="G125" s="39" t="n">
        <x:v>46174</x:v>
      </x:c>
      <x:c r="H125" s="39" t="str">
        <x:v>R01-HL145821</x:v>
      </x:c>
      <x:c r="I125" s="39" t="str">
        <x:v>LAB_EQUIP</x:v>
      </x:c>
      <x:c r="J125" s="53" t="n">
        <x:v>684.57</x:v>
      </x:c>
      <x:c r="K125" s="39"/>
      <x:c r="L125" s="39"/>
      <x:c r="M125" s="39"/>
      <x:c r="N125" s="39"/>
      <x:c r="O125" s="39"/>
    </x:row>
    <x:row r="126">
      <x:c r="A126" s="39" t="n">
        <x:v>45931</x:v>
      </x:c>
      <x:c r="B126" s="39" t="str">
        <x:v>ANIMAL_CARE</x:v>
      </x:c>
      <x:c r="C126" s="53" t="n">
        <x:v>3500</x:v>
      </x:c>
      <x:c r="D126" s="39"/>
      <x:c r="E126" s="39"/>
      <x:c r="F126" s="39" t="str">
        <x:v>EXP00076</x:v>
      </x:c>
      <x:c r="G126" s="39" t="n">
        <x:v>46174</x:v>
      </x:c>
      <x:c r="H126" s="39" t="str">
        <x:v>FDTN-CZ-891</x:v>
      </x:c>
      <x:c r="I126" s="39" t="str">
        <x:v>LAB_EQUIP</x:v>
      </x:c>
      <x:c r="J126" s="53" t="n">
        <x:v>639.95</x:v>
      </x:c>
      <x:c r="K126" s="39"/>
      <x:c r="L126" s="39"/>
      <x:c r="M126" s="39"/>
      <x:c r="N126" s="39"/>
      <x:c r="O126" s="39"/>
    </x:row>
    <x:row r="127">
      <x:c r="A127" s="39" t="n">
        <x:v>45962</x:v>
      </x:c>
      <x:c r="B127" s="39" t="str">
        <x:v>ANIMAL_CARE</x:v>
      </x:c>
      <x:c r="C127" s="53" t="n">
        <x:v>3500</x:v>
      </x:c>
      <x:c r="D127" s="39"/>
      <x:c r="E127" s="39"/>
      <x:c r="F127" s="39" t="str">
        <x:v>EXP00077</x:v>
      </x:c>
      <x:c r="G127" s="39" t="n">
        <x:v>46174</x:v>
      </x:c>
      <x:c r="H127" s="39" t="str">
        <x:v>R01-CA198765</x:v>
      </x:c>
      <x:c r="I127" s="39" t="str">
        <x:v>LAB_EQUIP</x:v>
      </x:c>
      <x:c r="J127" s="53" t="n">
        <x:v>1361.07</x:v>
      </x:c>
      <x:c r="K127" s="39"/>
      <x:c r="L127" s="39"/>
      <x:c r="M127" s="39"/>
      <x:c r="N127" s="39"/>
      <x:c r="O127" s="39"/>
    </x:row>
    <x:row r="128">
      <x:c r="A128" s="39" t="n">
        <x:v>45992</x:v>
      </x:c>
      <x:c r="B128" s="39" t="str">
        <x:v>ANIMAL_CARE</x:v>
      </x:c>
      <x:c r="C128" s="53" t="n">
        <x:v>3500</x:v>
      </x:c>
      <x:c r="D128" s="39"/>
      <x:c r="E128" s="39"/>
      <x:c r="F128" s="39" t="str">
        <x:v>EXP00078</x:v>
      </x:c>
      <x:c r="G128" s="39" t="n">
        <x:v>45839</x:v>
      </x:c>
      <x:c r="H128" s="39" t="str">
        <x:v>DOD-W81XWH</x:v>
      </x:c>
      <x:c r="I128" s="39" t="str">
        <x:v>EQUIP_MAINT</x:v>
      </x:c>
      <x:c r="J128" s="53" t="n">
        <x:v>557.08</x:v>
      </x:c>
      <x:c r="K128" s="39"/>
      <x:c r="L128" s="39"/>
      <x:c r="M128" s="39"/>
      <x:c r="N128" s="39"/>
      <x:c r="O128" s="39"/>
    </x:row>
    <x:row r="129">
      <x:c r="A129" s="39" t="n">
        <x:v>46023</x:v>
      </x:c>
      <x:c r="B129" s="39" t="str">
        <x:v>ANIMAL_CARE</x:v>
      </x:c>
      <x:c r="C129" s="53" t="n">
        <x:v>3500</x:v>
      </x:c>
      <x:c r="D129" s="39"/>
      <x:c r="E129" s="39"/>
      <x:c r="F129" s="39" t="str">
        <x:v>EXP00079</x:v>
      </x:c>
      <x:c r="G129" s="39" t="n">
        <x:v>45839</x:v>
      </x:c>
      <x:c r="H129" s="39" t="str">
        <x:v>R01-HL145821</x:v>
      </x:c>
      <x:c r="I129" s="39" t="str">
        <x:v>EQUIP_MAINT</x:v>
      </x:c>
      <x:c r="J129" s="53" t="n">
        <x:v>576.64</x:v>
      </x:c>
      <x:c r="K129" s="39"/>
      <x:c r="L129" s="39"/>
      <x:c r="M129" s="39"/>
      <x:c r="N129" s="39"/>
      <x:c r="O129" s="39"/>
    </x:row>
    <x:row r="130">
      <x:c r="A130" s="39" t="n">
        <x:v>46054</x:v>
      </x:c>
      <x:c r="B130" s="39" t="str">
        <x:v>ANIMAL_CARE</x:v>
      </x:c>
      <x:c r="C130" s="53" t="n">
        <x:v>3500</x:v>
      </x:c>
      <x:c r="D130" s="39"/>
      <x:c r="E130" s="39"/>
      <x:c r="F130" s="39" t="str">
        <x:v>EXP00080</x:v>
      </x:c>
      <x:c r="G130" s="39" t="n">
        <x:v>45839</x:v>
      </x:c>
      <x:c r="H130" s="39" t="str">
        <x:v>FDTN-CZ-891</x:v>
      </x:c>
      <x:c r="I130" s="39" t="str">
        <x:v>EQUIP_MAINT</x:v>
      </x:c>
      <x:c r="J130" s="53" t="n">
        <x:v>679</x:v>
      </x:c>
      <x:c r="K130" s="39"/>
      <x:c r="L130" s="39"/>
      <x:c r="M130" s="39"/>
      <x:c r="N130" s="39"/>
      <x:c r="O130" s="39"/>
    </x:row>
    <x:row r="131">
      <x:c r="A131" s="39" t="n">
        <x:v>46082</x:v>
      </x:c>
      <x:c r="B131" s="39" t="str">
        <x:v>ANIMAL_CARE</x:v>
      </x:c>
      <x:c r="C131" s="53" t="n">
        <x:v>3500</x:v>
      </x:c>
      <x:c r="D131" s="39"/>
      <x:c r="E131" s="39"/>
      <x:c r="F131" s="39" t="str">
        <x:v>EXP00081</x:v>
      </x:c>
      <x:c r="G131" s="39" t="n">
        <x:v>45870</x:v>
      </x:c>
      <x:c r="H131" s="39" t="str">
        <x:v>K99-AG054321</x:v>
      </x:c>
      <x:c r="I131" s="39" t="str">
        <x:v>EQUIP_MAINT</x:v>
      </x:c>
      <x:c r="J131" s="53" t="n">
        <x:v>591.34</x:v>
      </x:c>
      <x:c r="K131" s="39"/>
      <x:c r="L131" s="39"/>
      <x:c r="M131" s="39"/>
      <x:c r="N131" s="39"/>
      <x:c r="O131" s="39"/>
    </x:row>
    <x:row r="132">
      <x:c r="A132" s="39" t="n">
        <x:v>46113</x:v>
      </x:c>
      <x:c r="B132" s="39" t="str">
        <x:v>ANIMAL_CARE</x:v>
      </x:c>
      <x:c r="C132" s="53" t="n">
        <x:v>3500</x:v>
      </x:c>
      <x:c r="D132" s="39"/>
      <x:c r="E132" s="39"/>
      <x:c r="F132" s="39" t="str">
        <x:v>EXP00082</x:v>
      </x:c>
      <x:c r="G132" s="39" t="n">
        <x:v>45870</x:v>
      </x:c>
      <x:c r="H132" s="39" t="str">
        <x:v>NSF-2234567</x:v>
      </x:c>
      <x:c r="I132" s="39" t="str">
        <x:v>EQUIP_MAINT</x:v>
      </x:c>
      <x:c r="J132" s="53" t="n">
        <x:v>307.15</x:v>
      </x:c>
      <x:c r="K132" s="39"/>
      <x:c r="L132" s="39"/>
      <x:c r="M132" s="39"/>
      <x:c r="N132" s="39"/>
      <x:c r="O132" s="39"/>
    </x:row>
    <x:row r="133">
      <x:c r="A133" s="39" t="n">
        <x:v>46143</x:v>
      </x:c>
      <x:c r="B133" s="39" t="str">
        <x:v>ANIMAL_CARE</x:v>
      </x:c>
      <x:c r="C133" s="53" t="n">
        <x:v>3500</x:v>
      </x:c>
      <x:c r="D133" s="39"/>
      <x:c r="E133" s="39"/>
      <x:c r="F133" s="39" t="str">
        <x:v>EXP00083</x:v>
      </x:c>
      <x:c r="G133" s="39" t="n">
        <x:v>45870</x:v>
      </x:c>
      <x:c r="H133" s="39" t="str">
        <x:v>DOD-W81XWH</x:v>
      </x:c>
      <x:c r="I133" s="39" t="str">
        <x:v>EQUIP_MAINT</x:v>
      </x:c>
      <x:c r="J133" s="53" t="n">
        <x:v>514.58</x:v>
      </x:c>
      <x:c r="K133" s="39"/>
      <x:c r="L133" s="39"/>
      <x:c r="M133" s="39"/>
      <x:c r="N133" s="39"/>
      <x:c r="O133" s="39"/>
    </x:row>
    <x:row r="134">
      <x:c r="A134" s="39" t="n">
        <x:v>46174</x:v>
      </x:c>
      <x:c r="B134" s="39" t="str">
        <x:v>ANIMAL_CARE</x:v>
      </x:c>
      <x:c r="C134" s="53" t="n">
        <x:v>3500</x:v>
      </x:c>
      <x:c r="D134" s="39"/>
      <x:c r="E134" s="39"/>
      <x:c r="F134" s="39" t="str">
        <x:v>EXP00084</x:v>
      </x:c>
      <x:c r="G134" s="39" t="n">
        <x:v>45870</x:v>
      </x:c>
      <x:c r="H134" s="39" t="str">
        <x:v>FDTN-CZ-891</x:v>
      </x:c>
      <x:c r="I134" s="39" t="str">
        <x:v>EQUIP_MAINT</x:v>
      </x:c>
      <x:c r="J134" s="53" t="n">
        <x:v>397.92</x:v>
      </x:c>
      <x:c r="K134" s="39"/>
      <x:c r="L134" s="39"/>
      <x:c r="M134" s="39"/>
      <x:c r="N134" s="39"/>
      <x:c r="O134" s="39"/>
    </x:row>
    <x:row r="135">
      <x:c r="A135" s="39" t="n">
        <x:v>45839</x:v>
      </x:c>
      <x:c r="B135" s="39" t="str">
        <x:v>HUMAN_SUBJECTS</x:v>
      </x:c>
      <x:c r="C135" s="53" t="n">
        <x:v>300</x:v>
      </x:c>
      <x:c r="D135" s="39"/>
      <x:c r="E135" s="39"/>
      <x:c r="F135" s="39" t="str">
        <x:v>EXP00085</x:v>
      </x:c>
      <x:c r="G135" s="39" t="n">
        <x:v>45901</x:v>
      </x:c>
      <x:c r="H135" s="39" t="str">
        <x:v>NSF-2234567</x:v>
      </x:c>
      <x:c r="I135" s="39" t="str">
        <x:v>EQUIP_MAINT</x:v>
      </x:c>
      <x:c r="J135" s="53" t="n">
        <x:v>498.34</x:v>
      </x:c>
      <x:c r="K135" s="39"/>
      <x:c r="L135" s="39"/>
      <x:c r="M135" s="39"/>
      <x:c r="N135" s="39"/>
      <x:c r="O135" s="39"/>
    </x:row>
    <x:row r="136">
      <x:c r="A136" s="39" t="n">
        <x:v>45870</x:v>
      </x:c>
      <x:c r="B136" s="39" t="str">
        <x:v>HUMAN_SUBJECTS</x:v>
      </x:c>
      <x:c r="C136" s="53" t="n">
        <x:v>900</x:v>
      </x:c>
      <x:c r="D136" s="39"/>
      <x:c r="E136" s="39"/>
      <x:c r="F136" s="39" t="str">
        <x:v>EXP00086</x:v>
      </x:c>
      <x:c r="G136" s="39" t="n">
        <x:v>45901</x:v>
      </x:c>
      <x:c r="H136" s="39" t="str">
        <x:v>DOD-W81XWH</x:v>
      </x:c>
      <x:c r="I136" s="39" t="str">
        <x:v>EQUIP_MAINT</x:v>
      </x:c>
      <x:c r="J136" s="53" t="n">
        <x:v>716.12</x:v>
      </x:c>
      <x:c r="K136" s="39"/>
      <x:c r="L136" s="39"/>
      <x:c r="M136" s="39"/>
      <x:c r="N136" s="39"/>
      <x:c r="O136" s="39"/>
    </x:row>
    <x:row r="137">
      <x:c r="A137" s="39" t="n">
        <x:v>45901</x:v>
      </x:c>
      <x:c r="B137" s="39" t="str">
        <x:v>HUMAN_SUBJECTS</x:v>
      </x:c>
      <x:c r="C137" s="53" t="n">
        <x:v>2100</x:v>
      </x:c>
      <x:c r="D137" s="39"/>
      <x:c r="E137" s="39"/>
      <x:c r="F137" s="39" t="str">
        <x:v>EXP00087</x:v>
      </x:c>
      <x:c r="G137" s="39" t="n">
        <x:v>45901</x:v>
      </x:c>
      <x:c r="H137" s="39" t="str">
        <x:v>PCORI-12345</x:v>
      </x:c>
      <x:c r="I137" s="39" t="str">
        <x:v>EQUIP_MAINT</x:v>
      </x:c>
      <x:c r="J137" s="53" t="n">
        <x:v>747.49</x:v>
      </x:c>
      <x:c r="K137" s="39"/>
      <x:c r="L137" s="39"/>
      <x:c r="M137" s="39"/>
      <x:c r="N137" s="39"/>
      <x:c r="O137" s="39"/>
    </x:row>
    <x:row r="138">
      <x:c r="A138" s="39" t="n">
        <x:v>45931</x:v>
      </x:c>
      <x:c r="B138" s="39" t="str">
        <x:v>HUMAN_SUBJECTS</x:v>
      </x:c>
      <x:c r="C138" s="53" t="n">
        <x:v>1500</x:v>
      </x:c>
      <x:c r="D138" s="39"/>
      <x:c r="E138" s="39"/>
      <x:c r="F138" s="39" t="str">
        <x:v>EXP00088</x:v>
      </x:c>
      <x:c r="G138" s="39" t="n">
        <x:v>45931</x:v>
      </x:c>
      <x:c r="H138" s="39" t="str">
        <x:v>DOD-W81XWH</x:v>
      </x:c>
      <x:c r="I138" s="39" t="str">
        <x:v>EQUIP_MAINT</x:v>
      </x:c>
      <x:c r="J138" s="53" t="n">
        <x:v>1106.49</x:v>
      </x:c>
      <x:c r="K138" s="39"/>
      <x:c r="L138" s="39"/>
      <x:c r="M138" s="39"/>
      <x:c r="N138" s="39"/>
      <x:c r="O138" s="39"/>
    </x:row>
    <x:row r="139">
      <x:c r="A139" s="39" t="n">
        <x:v>45962</x:v>
      </x:c>
      <x:c r="B139" s="39" t="str">
        <x:v>HUMAN_SUBJECTS</x:v>
      </x:c>
      <x:c r="C139" s="53" t="n">
        <x:v>1200</x:v>
      </x:c>
      <x:c r="D139" s="39"/>
      <x:c r="E139" s="39"/>
      <x:c r="F139" s="39" t="str">
        <x:v>EXP00089</x:v>
      </x:c>
      <x:c r="G139" s="39" t="n">
        <x:v>45931</x:v>
      </x:c>
      <x:c r="H139" s="39" t="str">
        <x:v>R01-CA198765</x:v>
      </x:c>
      <x:c r="I139" s="39" t="str">
        <x:v>EQUIP_MAINT</x:v>
      </x:c>
      <x:c r="J139" s="53" t="n">
        <x:v>803.55</x:v>
      </x:c>
      <x:c r="K139" s="39"/>
      <x:c r="L139" s="39"/>
      <x:c r="M139" s="39"/>
      <x:c r="N139" s="39"/>
      <x:c r="O139" s="39"/>
    </x:row>
    <x:row r="140">
      <x:c r="A140" s="39" t="n">
        <x:v>45992</x:v>
      </x:c>
      <x:c r="B140" s="39" t="str">
        <x:v>HUMAN_SUBJECTS</x:v>
      </x:c>
      <x:c r="C140" s="53" t="n">
        <x:v>750</x:v>
      </x:c>
      <x:c r="D140" s="39"/>
      <x:c r="E140" s="39"/>
      <x:c r="F140" s="39" t="str">
        <x:v>EXP00090</x:v>
      </x:c>
      <x:c r="G140" s="39" t="n">
        <x:v>45931</x:v>
      </x:c>
      <x:c r="H140" s="39" t="str">
        <x:v>PCORI-12345</x:v>
      </x:c>
      <x:c r="I140" s="39" t="str">
        <x:v>EQUIP_MAINT</x:v>
      </x:c>
      <x:c r="J140" s="53" t="n">
        <x:v>73.02</x:v>
      </x:c>
      <x:c r="K140" s="39"/>
      <x:c r="L140" s="39"/>
      <x:c r="M140" s="39"/>
      <x:c r="N140" s="39"/>
      <x:c r="O140" s="39"/>
    </x:row>
    <x:row r="141">
      <x:c r="A141" s="39" t="n">
        <x:v>46023</x:v>
      </x:c>
      <x:c r="B141" s="39" t="str">
        <x:v>HUMAN_SUBJECTS</x:v>
      </x:c>
      <x:c r="C141" s="53" t="n">
        <x:v>600</x:v>
      </x:c>
      <x:c r="D141" s="39"/>
      <x:c r="E141" s="39"/>
      <x:c r="F141" s="39" t="str">
        <x:v>EXP00091</x:v>
      </x:c>
      <x:c r="G141" s="39" t="n">
        <x:v>45962</x:v>
      </x:c>
      <x:c r="H141" s="39" t="str">
        <x:v>R01-HL145821</x:v>
      </x:c>
      <x:c r="I141" s="39" t="str">
        <x:v>EQUIP_MAINT</x:v>
      </x:c>
      <x:c r="J141" s="53" t="n">
        <x:v>1159.14</x:v>
      </x:c>
      <x:c r="K141" s="39"/>
      <x:c r="L141" s="39"/>
      <x:c r="M141" s="39"/>
      <x:c r="N141" s="39"/>
      <x:c r="O141" s="39"/>
    </x:row>
    <x:row r="142">
      <x:c r="A142" s="39" t="n">
        <x:v>46054</x:v>
      </x:c>
      <x:c r="B142" s="39" t="str">
        <x:v>HUMAN_SUBJECTS</x:v>
      </x:c>
      <x:c r="C142" s="53" t="n">
        <x:v>1800</x:v>
      </x:c>
      <x:c r="D142" s="39"/>
      <x:c r="E142" s="39"/>
      <x:c r="F142" s="39" t="str">
        <x:v>EXP00092</x:v>
      </x:c>
      <x:c r="G142" s="39" t="n">
        <x:v>45962</x:v>
      </x:c>
      <x:c r="H142" s="39" t="str">
        <x:v>PCORI-12345</x:v>
      </x:c>
      <x:c r="I142" s="39" t="str">
        <x:v>EQUIP_MAINT</x:v>
      </x:c>
      <x:c r="J142" s="53" t="n">
        <x:v>131.44</x:v>
      </x:c>
      <x:c r="K142" s="39"/>
      <x:c r="L142" s="39"/>
      <x:c r="M142" s="39"/>
      <x:c r="N142" s="39"/>
      <x:c r="O142" s="39"/>
    </x:row>
    <x:row r="143">
      <x:c r="A143" s="39" t="n">
        <x:v>46082</x:v>
      </x:c>
      <x:c r="B143" s="39" t="str">
        <x:v>HUMAN_SUBJECTS</x:v>
      </x:c>
      <x:c r="C143" s="53" t="n">
        <x:v>1800</x:v>
      </x:c>
      <x:c r="D143" s="39"/>
      <x:c r="E143" s="39"/>
      <x:c r="F143" s="39" t="str">
        <x:v>EXP00093</x:v>
      </x:c>
      <x:c r="G143" s="39" t="n">
        <x:v>45962</x:v>
      </x:c>
      <x:c r="H143" s="39" t="str">
        <x:v>K99-AG054321</x:v>
      </x:c>
      <x:c r="I143" s="39" t="str">
        <x:v>EQUIP_MAINT</x:v>
      </x:c>
      <x:c r="J143" s="53" t="n">
        <x:v>705.56</x:v>
      </x:c>
      <x:c r="K143" s="39"/>
      <x:c r="L143" s="39"/>
      <x:c r="M143" s="39"/>
      <x:c r="N143" s="39"/>
      <x:c r="O143" s="39"/>
    </x:row>
    <x:row r="144">
      <x:c r="A144" s="39" t="n">
        <x:v>46113</x:v>
      </x:c>
      <x:c r="B144" s="39" t="str">
        <x:v>HUMAN_SUBJECTS</x:v>
      </x:c>
      <x:c r="C144" s="53" t="n">
        <x:v>1500</x:v>
      </x:c>
      <x:c r="D144" s="39"/>
      <x:c r="E144" s="39"/>
      <x:c r="F144" s="39" t="str">
        <x:v>EXP00094</x:v>
      </x:c>
      <x:c r="G144" s="39" t="n">
        <x:v>45992</x:v>
      </x:c>
      <x:c r="H144" s="39" t="str">
        <x:v>R01-CA198765</x:v>
      </x:c>
      <x:c r="I144" s="39" t="str">
        <x:v>EQUIP_MAINT</x:v>
      </x:c>
      <x:c r="J144" s="53" t="n">
        <x:v>87.06</x:v>
      </x:c>
      <x:c r="K144" s="39"/>
      <x:c r="L144" s="39"/>
      <x:c r="M144" s="39"/>
      <x:c r="N144" s="39"/>
      <x:c r="O144" s="39"/>
    </x:row>
    <x:row r="145">
      <x:c r="A145" s="39" t="n">
        <x:v>46143</x:v>
      </x:c>
      <x:c r="B145" s="39" t="str">
        <x:v>HUMAN_SUBJECTS</x:v>
      </x:c>
      <x:c r="C145" s="53" t="n">
        <x:v>1350</x:v>
      </x:c>
      <x:c r="D145" s="39"/>
      <x:c r="E145" s="39"/>
      <x:c r="F145" s="39" t="str">
        <x:v>EXP00095</x:v>
      </x:c>
      <x:c r="G145" s="39" t="n">
        <x:v>45992</x:v>
      </x:c>
      <x:c r="H145" s="39" t="str">
        <x:v>DOD-W81XWH</x:v>
      </x:c>
      <x:c r="I145" s="39" t="str">
        <x:v>EQUIP_MAINT</x:v>
      </x:c>
      <x:c r="J145" s="53" t="n">
        <x:v>721.04</x:v>
      </x:c>
      <x:c r="K145" s="39"/>
      <x:c r="L145" s="39"/>
      <x:c r="M145" s="39"/>
      <x:c r="N145" s="39"/>
      <x:c r="O145" s="39"/>
    </x:row>
    <x:row r="146">
      <x:c r="A146" s="39" t="n">
        <x:v>46174</x:v>
      </x:c>
      <x:c r="B146" s="39" t="str">
        <x:v>HUMAN_SUBJECTS</x:v>
      </x:c>
      <x:c r="C146" s="53" t="n">
        <x:v>1200</x:v>
      </x:c>
      <x:c r="D146" s="39"/>
      <x:c r="E146" s="39"/>
      <x:c r="F146" s="39" t="str">
        <x:v>EXP00096</x:v>
      </x:c>
      <x:c r="G146" s="39" t="n">
        <x:v>45992</x:v>
      </x:c>
      <x:c r="H146" s="39" t="str">
        <x:v>FDTN-CZ-891</x:v>
      </x:c>
      <x:c r="I146" s="39" t="str">
        <x:v>EQUIP_MAINT</x:v>
      </x:c>
      <x:c r="J146" s="53" t="n">
        <x:v>853.44</x:v>
      </x:c>
      <x:c r="K146" s="39"/>
      <x:c r="L146" s="39"/>
      <x:c r="M146" s="39"/>
      <x:c r="N146" s="39"/>
      <x:c r="O146" s="39"/>
    </x:row>
    <x:row r="147">
      <x:c r="A147" s="39" t="n">
        <x:v>45839</x:v>
      </x:c>
      <x:c r="B147" s="39" t="str">
        <x:v>PUBLICATION</x:v>
      </x:c>
      <x:c r="C147" s="53" t="n">
        <x:v>0</x:v>
      </x:c>
      <x:c r="D147" s="39"/>
      <x:c r="E147" s="39"/>
      <x:c r="F147" s="39" t="str">
        <x:v>EXP00097</x:v>
      </x:c>
      <x:c r="G147" s="39" t="n">
        <x:v>45992</x:v>
      </x:c>
      <x:c r="H147" s="39" t="str">
        <x:v>K99-AG054321</x:v>
      </x:c>
      <x:c r="I147" s="39" t="str">
        <x:v>EQUIP_MAINT</x:v>
      </x:c>
      <x:c r="J147" s="53" t="n">
        <x:v>200.54</x:v>
      </x:c>
      <x:c r="K147" s="39"/>
      <x:c r="L147" s="39"/>
      <x:c r="M147" s="39"/>
      <x:c r="N147" s="39"/>
      <x:c r="O147" s="39"/>
    </x:row>
    <x:row r="148">
      <x:c r="A148" s="39" t="n">
        <x:v>45870</x:v>
      </x:c>
      <x:c r="B148" s="39" t="str">
        <x:v>PUBLICATION</x:v>
      </x:c>
      <x:c r="C148" s="53" t="n">
        <x:v>0</x:v>
      </x:c>
      <x:c r="D148" s="39"/>
      <x:c r="E148" s="39"/>
      <x:c r="F148" s="39" t="str">
        <x:v>EXP00098</x:v>
      </x:c>
      <x:c r="G148" s="39" t="n">
        <x:v>46023</x:v>
      </x:c>
      <x:c r="H148" s="39" t="str">
        <x:v>R01-CA198765</x:v>
      </x:c>
      <x:c r="I148" s="39" t="str">
        <x:v>EQUIP_MAINT</x:v>
      </x:c>
      <x:c r="J148" s="53" t="n">
        <x:v>715.94</x:v>
      </x:c>
      <x:c r="K148" s="39"/>
      <x:c r="L148" s="39"/>
      <x:c r="M148" s="39"/>
      <x:c r="N148" s="39"/>
      <x:c r="O148" s="39"/>
    </x:row>
    <x:row r="149">
      <x:c r="A149" s="39" t="n">
        <x:v>45901</x:v>
      </x:c>
      <x:c r="B149" s="39" t="str">
        <x:v>PUBLICATION</x:v>
      </x:c>
      <x:c r="C149" s="53" t="n">
        <x:v>3610</x:v>
      </x:c>
      <x:c r="D149" s="39"/>
      <x:c r="E149" s="39"/>
      <x:c r="F149" s="39" t="str">
        <x:v>EXP00099</x:v>
      </x:c>
      <x:c r="G149" s="39" t="n">
        <x:v>46023</x:v>
      </x:c>
      <x:c r="H149" s="39" t="str">
        <x:v>PCORI-12345</x:v>
      </x:c>
      <x:c r="I149" s="39" t="str">
        <x:v>EQUIP_MAINT</x:v>
      </x:c>
      <x:c r="J149" s="53" t="n">
        <x:v>665.75</x:v>
      </x:c>
      <x:c r="K149" s="39"/>
      <x:c r="L149" s="39"/>
      <x:c r="M149" s="39"/>
      <x:c r="N149" s="39"/>
      <x:c r="O149" s="39"/>
    </x:row>
    <x:row r="150">
      <x:c r="A150" s="39" t="n">
        <x:v>45931</x:v>
      </x:c>
      <x:c r="B150" s="39" t="str">
        <x:v>PUBLICATION</x:v>
      </x:c>
      <x:c r="C150" s="53" t="n">
        <x:v>0</x:v>
      </x:c>
      <x:c r="D150" s="39"/>
      <x:c r="E150" s="39"/>
      <x:c r="F150" s="39" t="str">
        <x:v>EXP00100</x:v>
      </x:c>
      <x:c r="G150" s="39" t="n">
        <x:v>46023</x:v>
      </x:c>
      <x:c r="H150" s="39" t="str">
        <x:v>FDTN-CZ-891</x:v>
      </x:c>
      <x:c r="I150" s="39" t="str">
        <x:v>EQUIP_MAINT</x:v>
      </x:c>
      <x:c r="J150" s="53" t="n">
        <x:v>585.45</x:v>
      </x:c>
      <x:c r="K150" s="39"/>
      <x:c r="L150" s="39"/>
      <x:c r="M150" s="39"/>
      <x:c r="N150" s="39"/>
      <x:c r="O150" s="39"/>
    </x:row>
    <x:row r="151">
      <x:c r="A151" s="39" t="n">
        <x:v>45962</x:v>
      </x:c>
      <x:c r="B151" s="39" t="str">
        <x:v>PUBLICATION</x:v>
      </x:c>
      <x:c r="C151" s="53" t="n">
        <x:v>0</x:v>
      </x:c>
      <x:c r="D151" s="39"/>
      <x:c r="E151" s="39"/>
      <x:c r="F151" s="39" t="str">
        <x:v>EXP00101</x:v>
      </x:c>
      <x:c r="G151" s="39" t="n">
        <x:v>46054</x:v>
      </x:c>
      <x:c r="H151" s="39" t="str">
        <x:v>R01-CA198765</x:v>
      </x:c>
      <x:c r="I151" s="39" t="str">
        <x:v>EQUIP_MAINT</x:v>
      </x:c>
      <x:c r="J151" s="53" t="n">
        <x:v>217.55</x:v>
      </x:c>
      <x:c r="K151" s="39"/>
      <x:c r="L151" s="39"/>
      <x:c r="M151" s="39"/>
      <x:c r="N151" s="39"/>
      <x:c r="O151" s="39"/>
    </x:row>
    <x:row r="152">
      <x:c r="A152" s="39" t="n">
        <x:v>45992</x:v>
      </x:c>
      <x:c r="B152" s="39" t="str">
        <x:v>PUBLICATION</x:v>
      </x:c>
      <x:c r="C152" s="53" t="n">
        <x:v>1235</x:v>
      </x:c>
      <x:c r="D152" s="39"/>
      <x:c r="E152" s="39"/>
      <x:c r="F152" s="39" t="str">
        <x:v>EXP00102</x:v>
      </x:c>
      <x:c r="G152" s="39" t="n">
        <x:v>46054</x:v>
      </x:c>
      <x:c r="H152" s="39" t="str">
        <x:v>K99-AG054321</x:v>
      </x:c>
      <x:c r="I152" s="39" t="str">
        <x:v>EQUIP_MAINT</x:v>
      </x:c>
      <x:c r="J152" s="53" t="n">
        <x:v>1063.48</x:v>
      </x:c>
      <x:c r="K152" s="39"/>
      <x:c r="L152" s="39"/>
      <x:c r="M152" s="39"/>
      <x:c r="N152" s="39"/>
      <x:c r="O152" s="39"/>
    </x:row>
    <x:row r="153">
      <x:c r="A153" s="39" t="n">
        <x:v>46023</x:v>
      </x:c>
      <x:c r="B153" s="39" t="str">
        <x:v>PUBLICATION</x:v>
      </x:c>
      <x:c r="C153" s="53" t="n">
        <x:v>0</x:v>
      </x:c>
      <x:c r="D153" s="39"/>
      <x:c r="E153" s="39"/>
      <x:c r="F153" s="39" t="str">
        <x:v>EXP00103</x:v>
      </x:c>
      <x:c r="G153" s="39" t="n">
        <x:v>46054</x:v>
      </x:c>
      <x:c r="H153" s="39" t="str">
        <x:v>PCORI-12345</x:v>
      </x:c>
      <x:c r="I153" s="39" t="str">
        <x:v>EQUIP_MAINT</x:v>
      </x:c>
      <x:c r="J153" s="53" t="n">
        <x:v>643.21</x:v>
      </x:c>
      <x:c r="K153" s="39"/>
      <x:c r="L153" s="39"/>
      <x:c r="M153" s="39"/>
      <x:c r="N153" s="39"/>
      <x:c r="O153" s="39"/>
    </x:row>
    <x:row r="154">
      <x:c r="A154" s="39" t="n">
        <x:v>46054</x:v>
      </x:c>
      <x:c r="B154" s="39" t="str">
        <x:v>PUBLICATION</x:v>
      </x:c>
      <x:c r="C154" s="53" t="n">
        <x:v>2375</x:v>
      </x:c>
      <x:c r="D154" s="39"/>
      <x:c r="E154" s="39"/>
      <x:c r="F154" s="39" t="str">
        <x:v>EXP00104</x:v>
      </x:c>
      <x:c r="G154" s="39" t="n">
        <x:v>46082</x:v>
      </x:c>
      <x:c r="H154" s="39" t="str">
        <x:v>DOD-W81XWH</x:v>
      </x:c>
      <x:c r="I154" s="39" t="str">
        <x:v>EQUIP_MAINT</x:v>
      </x:c>
      <x:c r="J154" s="53" t="n">
        <x:v>67.11</x:v>
      </x:c>
      <x:c r="K154" s="39"/>
      <x:c r="L154" s="39"/>
      <x:c r="M154" s="39"/>
      <x:c r="N154" s="39"/>
      <x:c r="O154" s="39"/>
    </x:row>
    <x:row r="155">
      <x:c r="A155" s="39" t="n">
        <x:v>46082</x:v>
      </x:c>
      <x:c r="B155" s="39" t="str">
        <x:v>PUBLICATION</x:v>
      </x:c>
      <x:c r="C155" s="53" t="n">
        <x:v>0</x:v>
      </x:c>
      <x:c r="D155" s="39"/>
      <x:c r="E155" s="39"/>
      <x:c r="F155" s="39" t="str">
        <x:v>EXP00105</x:v>
      </x:c>
      <x:c r="G155" s="39" t="n">
        <x:v>46082</x:v>
      </x:c>
      <x:c r="H155" s="39" t="str">
        <x:v>R01-HL145821</x:v>
      </x:c>
      <x:c r="I155" s="39" t="str">
        <x:v>EQUIP_MAINT</x:v>
      </x:c>
      <x:c r="J155" s="53" t="n">
        <x:v>756.53</x:v>
      </x:c>
      <x:c r="K155" s="39"/>
      <x:c r="L155" s="39"/>
      <x:c r="M155" s="39"/>
      <x:c r="N155" s="39"/>
      <x:c r="O155" s="39"/>
    </x:row>
    <x:row r="156">
      <x:c r="A156" s="39" t="n">
        <x:v>46113</x:v>
      </x:c>
      <x:c r="B156" s="39" t="str">
        <x:v>PUBLICATION</x:v>
      </x:c>
      <x:c r="C156" s="53" t="n">
        <x:v>1140</x:v>
      </x:c>
      <x:c r="D156" s="39"/>
      <x:c r="E156" s="39"/>
      <x:c r="F156" s="39" t="str">
        <x:v>EXP00106</x:v>
      </x:c>
      <x:c r="G156" s="39" t="n">
        <x:v>46082</x:v>
      </x:c>
      <x:c r="H156" s="39" t="str">
        <x:v>PCORI-12345</x:v>
      </x:c>
      <x:c r="I156" s="39" t="str">
        <x:v>EQUIP_MAINT</x:v>
      </x:c>
      <x:c r="J156" s="53" t="n">
        <x:v>1150.82</x:v>
      </x:c>
      <x:c r="K156" s="39"/>
      <x:c r="L156" s="39"/>
      <x:c r="M156" s="39"/>
      <x:c r="N156" s="39"/>
      <x:c r="O156" s="39"/>
    </x:row>
    <x:row r="157">
      <x:c r="A157" s="39" t="n">
        <x:v>46143</x:v>
      </x:c>
      <x:c r="B157" s="39" t="str">
        <x:v>PUBLICATION</x:v>
      </x:c>
      <x:c r="C157" s="53" t="n">
        <x:v>1140</x:v>
      </x:c>
      <x:c r="D157" s="39"/>
      <x:c r="E157" s="39"/>
      <x:c r="F157" s="39" t="str">
        <x:v>EXP00107</x:v>
      </x:c>
      <x:c r="G157" s="39" t="n">
        <x:v>46113</x:v>
      </x:c>
      <x:c r="H157" s="39" t="str">
        <x:v>FDTN-CZ-891</x:v>
      </x:c>
      <x:c r="I157" s="39" t="str">
        <x:v>EQUIP_MAINT</x:v>
      </x:c>
      <x:c r="J157" s="53" t="n">
        <x:v>452.72</x:v>
      </x:c>
      <x:c r="K157" s="39"/>
      <x:c r="L157" s="39"/>
      <x:c r="M157" s="39"/>
      <x:c r="N157" s="39"/>
      <x:c r="O157" s="39"/>
    </x:row>
    <x:row r="158">
      <x:c r="A158" s="39" t="n">
        <x:v>46174</x:v>
      </x:c>
      <x:c r="B158" s="39" t="str">
        <x:v>PUBLICATION</x:v>
      </x:c>
      <x:c r="C158" s="53" t="n">
        <x:v>0</x:v>
      </x:c>
      <x:c r="D158" s="39"/>
      <x:c r="E158" s="39"/>
      <x:c r="F158" s="39" t="str">
        <x:v>EXP00108</x:v>
      </x:c>
      <x:c r="G158" s="39" t="n">
        <x:v>46113</x:v>
      </x:c>
      <x:c r="H158" s="39" t="str">
        <x:v>R01-CA198765</x:v>
      </x:c>
      <x:c r="I158" s="39" t="str">
        <x:v>EQUIP_MAINT</x:v>
      </x:c>
      <x:c r="J158" s="53" t="n">
        <x:v>645.76</x:v>
      </x:c>
      <x:c r="K158" s="39"/>
      <x:c r="L158" s="39"/>
      <x:c r="M158" s="39"/>
      <x:c r="N158" s="39"/>
      <x:c r="O158" s="39"/>
    </x:row>
    <x:row r="159">
      <x:c r="A159" s="39" t="n">
        <x:v>45839</x:v>
      </x:c>
      <x:c r="B159" s="39" t="str">
        <x:v>COMPUTE</x:v>
      </x:c>
      <x:c r="C159" s="53" t="n">
        <x:v>1500</x:v>
      </x:c>
      <x:c r="D159" s="39"/>
      <x:c r="E159" s="39"/>
      <x:c r="F159" s="39" t="str">
        <x:v>EXP00109</x:v>
      </x:c>
      <x:c r="G159" s="39" t="n">
        <x:v>46113</x:v>
      </x:c>
      <x:c r="H159" s="39" t="str">
        <x:v>DOD-W81XWH</x:v>
      </x:c>
      <x:c r="I159" s="39" t="str">
        <x:v>EQUIP_MAINT</x:v>
      </x:c>
      <x:c r="J159" s="53" t="n">
        <x:v>746.87</x:v>
      </x:c>
      <x:c r="K159" s="39"/>
      <x:c r="L159" s="39"/>
      <x:c r="M159" s="39"/>
      <x:c r="N159" s="39"/>
      <x:c r="O159" s="39"/>
    </x:row>
    <x:row r="160">
      <x:c r="A160" s="39" t="n">
        <x:v>45870</x:v>
      </x:c>
      <x:c r="B160" s="39" t="str">
        <x:v>COMPUTE</x:v>
      </x:c>
      <x:c r="C160" s="53" t="n">
        <x:v>1500</x:v>
      </x:c>
      <x:c r="D160" s="39"/>
      <x:c r="E160" s="39"/>
      <x:c r="F160" s="39" t="str">
        <x:v>EXP00110</x:v>
      </x:c>
      <x:c r="G160" s="39" t="n">
        <x:v>46113</x:v>
      </x:c>
      <x:c r="H160" s="39" t="str">
        <x:v>R01-HL145821</x:v>
      </x:c>
      <x:c r="I160" s="39" t="str">
        <x:v>EQUIP_MAINT</x:v>
      </x:c>
      <x:c r="J160" s="53" t="n">
        <x:v>23.26</x:v>
      </x:c>
      <x:c r="K160" s="39"/>
      <x:c r="L160" s="39"/>
      <x:c r="M160" s="39"/>
      <x:c r="N160" s="39"/>
      <x:c r="O160" s="39"/>
    </x:row>
    <x:row r="161">
      <x:c r="A161" s="39" t="n">
        <x:v>45901</x:v>
      </x:c>
      <x:c r="B161" s="39" t="str">
        <x:v>COMPUTE</x:v>
      </x:c>
      <x:c r="C161" s="53" t="n">
        <x:v>1500</x:v>
      </x:c>
      <x:c r="D161" s="39"/>
      <x:c r="E161" s="39"/>
      <x:c r="F161" s="39" t="str">
        <x:v>EXP00111</x:v>
      </x:c>
      <x:c r="G161" s="39" t="n">
        <x:v>46143</x:v>
      </x:c>
      <x:c r="H161" s="39" t="str">
        <x:v>DOD-W81XWH</x:v>
      </x:c>
      <x:c r="I161" s="39" t="str">
        <x:v>EQUIP_MAINT</x:v>
      </x:c>
      <x:c r="J161" s="53" t="n">
        <x:v>384.57</x:v>
      </x:c>
      <x:c r="K161" s="39"/>
      <x:c r="L161" s="39"/>
      <x:c r="M161" s="39"/>
      <x:c r="N161" s="39"/>
      <x:c r="O161" s="39"/>
    </x:row>
    <x:row r="162">
      <x:c r="A162" s="39" t="n">
        <x:v>45931</x:v>
      </x:c>
      <x:c r="B162" s="39" t="str">
        <x:v>COMPUTE</x:v>
      </x:c>
      <x:c r="C162" s="53" t="n">
        <x:v>1500</x:v>
      </x:c>
      <x:c r="D162" s="39"/>
      <x:c r="E162" s="39"/>
      <x:c r="F162" s="39" t="str">
        <x:v>EXP00112</x:v>
      </x:c>
      <x:c r="G162" s="39" t="n">
        <x:v>46143</x:v>
      </x:c>
      <x:c r="H162" s="39" t="str">
        <x:v>K99-AG054321</x:v>
      </x:c>
      <x:c r="I162" s="39" t="str">
        <x:v>EQUIP_MAINT</x:v>
      </x:c>
      <x:c r="J162" s="53" t="n">
        <x:v>771.25</x:v>
      </x:c>
      <x:c r="K162" s="39"/>
      <x:c r="L162" s="39"/>
      <x:c r="M162" s="39"/>
      <x:c r="N162" s="39"/>
      <x:c r="O162" s="39"/>
    </x:row>
    <x:row r="163">
      <x:c r="A163" s="39" t="n">
        <x:v>45962</x:v>
      </x:c>
      <x:c r="B163" s="39" t="str">
        <x:v>COMPUTE</x:v>
      </x:c>
      <x:c r="C163" s="53" t="n">
        <x:v>1500</x:v>
      </x:c>
      <x:c r="D163" s="39"/>
      <x:c r="E163" s="39"/>
      <x:c r="F163" s="39" t="str">
        <x:v>EXP00113</x:v>
      </x:c>
      <x:c r="G163" s="39" t="n">
        <x:v>46143</x:v>
      </x:c>
      <x:c r="H163" s="39" t="str">
        <x:v>R01-HL145821</x:v>
      </x:c>
      <x:c r="I163" s="39" t="str">
        <x:v>EQUIP_MAINT</x:v>
      </x:c>
      <x:c r="J163" s="53" t="n">
        <x:v>52.23</x:v>
      </x:c>
      <x:c r="K163" s="39"/>
      <x:c r="L163" s="39"/>
      <x:c r="M163" s="39"/>
      <x:c r="N163" s="39"/>
      <x:c r="O163" s="39"/>
    </x:row>
    <x:row r="164">
      <x:c r="A164" s="39" t="n">
        <x:v>45992</x:v>
      </x:c>
      <x:c r="B164" s="39" t="str">
        <x:v>COMPUTE</x:v>
      </x:c>
      <x:c r="C164" s="53" t="n">
        <x:v>1500</x:v>
      </x:c>
      <x:c r="D164" s="39"/>
      <x:c r="E164" s="39"/>
      <x:c r="F164" s="39" t="str">
        <x:v>EXP00114</x:v>
      </x:c>
      <x:c r="G164" s="39" t="n">
        <x:v>46143</x:v>
      </x:c>
      <x:c r="H164" s="39" t="str">
        <x:v>NSF-2234567</x:v>
      </x:c>
      <x:c r="I164" s="39" t="str">
        <x:v>EQUIP_MAINT</x:v>
      </x:c>
      <x:c r="J164" s="53" t="n">
        <x:v>808.96</x:v>
      </x:c>
      <x:c r="K164" s="39"/>
      <x:c r="L164" s="39"/>
      <x:c r="M164" s="39"/>
      <x:c r="N164" s="39"/>
      <x:c r="O164" s="39"/>
    </x:row>
    <x:row r="165">
      <x:c r="A165" s="39" t="n">
        <x:v>46023</x:v>
      </x:c>
      <x:c r="B165" s="39" t="str">
        <x:v>COMPUTE</x:v>
      </x:c>
      <x:c r="C165" s="53" t="n">
        <x:v>1500</x:v>
      </x:c>
      <x:c r="D165" s="39"/>
      <x:c r="E165" s="39"/>
      <x:c r="F165" s="39" t="str">
        <x:v>EXP00115</x:v>
      </x:c>
      <x:c r="G165" s="39" t="n">
        <x:v>46174</x:v>
      </x:c>
      <x:c r="H165" s="39" t="str">
        <x:v>PCORI-12345</x:v>
      </x:c>
      <x:c r="I165" s="39" t="str">
        <x:v>EQUIP_MAINT</x:v>
      </x:c>
      <x:c r="J165" s="53" t="n">
        <x:v>934.79</x:v>
      </x:c>
      <x:c r="K165" s="39"/>
      <x:c r="L165" s="39"/>
      <x:c r="M165" s="39"/>
      <x:c r="N165" s="39"/>
      <x:c r="O165" s="39"/>
    </x:row>
    <x:row r="166">
      <x:c r="A166" s="39" t="n">
        <x:v>46054</x:v>
      </x:c>
      <x:c r="B166" s="39" t="str">
        <x:v>COMPUTE</x:v>
      </x:c>
      <x:c r="C166" s="53" t="n">
        <x:v>1500</x:v>
      </x:c>
      <x:c r="D166" s="39"/>
      <x:c r="E166" s="39"/>
      <x:c r="F166" s="39" t="str">
        <x:v>EXP00116</x:v>
      </x:c>
      <x:c r="G166" s="39" t="n">
        <x:v>46174</x:v>
      </x:c>
      <x:c r="H166" s="39" t="str">
        <x:v>NSF-2234567</x:v>
      </x:c>
      <x:c r="I166" s="39" t="str">
        <x:v>EQUIP_MAINT</x:v>
      </x:c>
      <x:c r="J166" s="53" t="n">
        <x:v>165.99</x:v>
      </x:c>
      <x:c r="K166" s="39"/>
      <x:c r="L166" s="39"/>
      <x:c r="M166" s="39"/>
      <x:c r="N166" s="39"/>
      <x:c r="O166" s="39"/>
    </x:row>
    <x:row r="167">
      <x:c r="A167" s="39" t="n">
        <x:v>46082</x:v>
      </x:c>
      <x:c r="B167" s="39" t="str">
        <x:v>COMPUTE</x:v>
      </x:c>
      <x:c r="C167" s="53" t="n">
        <x:v>1500</x:v>
      </x:c>
      <x:c r="D167" s="39"/>
      <x:c r="E167" s="39"/>
      <x:c r="F167" s="39" t="str">
        <x:v>EXP00117</x:v>
      </x:c>
      <x:c r="G167" s="39" t="n">
        <x:v>46174</x:v>
      </x:c>
      <x:c r="H167" s="39" t="str">
        <x:v>FDTN-CZ-891</x:v>
      </x:c>
      <x:c r="I167" s="39" t="str">
        <x:v>EQUIP_MAINT</x:v>
      </x:c>
      <x:c r="J167" s="53" t="n">
        <x:v>781.34</x:v>
      </x:c>
      <x:c r="K167" s="39"/>
      <x:c r="L167" s="39"/>
      <x:c r="M167" s="39"/>
      <x:c r="N167" s="39"/>
      <x:c r="O167" s="39"/>
    </x:row>
    <x:row r="168">
      <x:c r="A168" s="39" t="n">
        <x:v>46113</x:v>
      </x:c>
      <x:c r="B168" s="39" t="str">
        <x:v>COMPUTE</x:v>
      </x:c>
      <x:c r="C168" s="53" t="n">
        <x:v>1500</x:v>
      </x:c>
      <x:c r="D168" s="39"/>
      <x:c r="E168" s="39"/>
      <x:c r="F168" s="39" t="str">
        <x:v>EXP00118</x:v>
      </x:c>
      <x:c r="G168" s="39" t="n">
        <x:v>45839</x:v>
      </x:c>
      <x:c r="H168" s="39" t="str">
        <x:v>PCORI-12345</x:v>
      </x:c>
      <x:c r="I168" s="39" t="str">
        <x:v>CORE_FACILITY</x:v>
      </x:c>
      <x:c r="J168" s="53" t="n">
        <x:v>1185.97</x:v>
      </x:c>
      <x:c r="K168" s="39"/>
      <x:c r="L168" s="39"/>
      <x:c r="M168" s="39"/>
      <x:c r="N168" s="39"/>
      <x:c r="O168" s="39"/>
    </x:row>
    <x:row r="169">
      <x:c r="A169" s="39" t="n">
        <x:v>46143</x:v>
      </x:c>
      <x:c r="B169" s="39" t="str">
        <x:v>COMPUTE</x:v>
      </x:c>
      <x:c r="C169" s="53" t="n">
        <x:v>1500</x:v>
      </x:c>
      <x:c r="D169" s="39"/>
      <x:c r="E169" s="39"/>
      <x:c r="F169" s="39" t="str">
        <x:v>EXP00119</x:v>
      </x:c>
      <x:c r="G169" s="39" t="n">
        <x:v>45839</x:v>
      </x:c>
      <x:c r="H169" s="39" t="str">
        <x:v>DOD-W81XWH</x:v>
      </x:c>
      <x:c r="I169" s="39" t="str">
        <x:v>CORE_FACILITY</x:v>
      </x:c>
      <x:c r="J169" s="53" t="n">
        <x:v>296.41</x:v>
      </x:c>
      <x:c r="K169" s="39"/>
      <x:c r="L169" s="39"/>
      <x:c r="M169" s="39"/>
      <x:c r="N169" s="39"/>
      <x:c r="O169" s="39"/>
    </x:row>
    <x:row r="170">
      <x:c r="A170" s="39" t="n">
        <x:v>46174</x:v>
      </x:c>
      <x:c r="B170" s="39" t="str">
        <x:v>COMPUTE</x:v>
      </x:c>
      <x:c r="C170" s="53" t="n">
        <x:v>1500</x:v>
      </x:c>
      <x:c r="D170" s="39"/>
      <x:c r="E170" s="39"/>
      <x:c r="F170" s="39" t="str">
        <x:v>EXP00120</x:v>
      </x:c>
      <x:c r="G170" s="39" t="n">
        <x:v>45839</x:v>
      </x:c>
      <x:c r="H170" s="39" t="str">
        <x:v>NSF-2234567</x:v>
      </x:c>
      <x:c r="I170" s="39" t="str">
        <x:v>CORE_FACILITY</x:v>
      </x:c>
      <x:c r="J170" s="53" t="n">
        <x:v>1958.55</x:v>
      </x:c>
      <x:c r="K170" s="39"/>
      <x:c r="L170" s="39"/>
      <x:c r="M170" s="39"/>
      <x:c r="N170" s="39"/>
      <x:c r="O170" s="39"/>
    </x:row>
    <x:row r="171">
      <x:c r="A171" s="39" t="n">
        <x:v>45839</x:v>
      </x:c>
      <x:c r="B171" s="39" t="str">
        <x:v>TRAVEL</x:v>
      </x:c>
      <x:c r="C171" s="53" t="n">
        <x:v>0</x:v>
      </x:c>
      <x:c r="D171" s="39"/>
      <x:c r="E171" s="39"/>
      <x:c r="F171" s="39" t="str">
        <x:v>EXP00121</x:v>
      </x:c>
      <x:c r="G171" s="39" t="n">
        <x:v>45870</x:v>
      </x:c>
      <x:c r="H171" s="39" t="str">
        <x:v>FDTN-CZ-891</x:v>
      </x:c>
      <x:c r="I171" s="39" t="str">
        <x:v>CORE_FACILITY</x:v>
      </x:c>
      <x:c r="J171" s="53" t="n">
        <x:v>939.51</x:v>
      </x:c>
      <x:c r="K171" s="39"/>
      <x:c r="L171" s="39"/>
      <x:c r="M171" s="39"/>
      <x:c r="N171" s="39"/>
      <x:c r="O171" s="39"/>
    </x:row>
    <x:row r="172">
      <x:c r="A172" s="39" t="n">
        <x:v>45870</x:v>
      </x:c>
      <x:c r="B172" s="39" t="str">
        <x:v>TRAVEL</x:v>
      </x:c>
      <x:c r="C172" s="53" t="n">
        <x:v>2800</x:v>
      </x:c>
      <x:c r="D172" s="39"/>
      <x:c r="E172" s="39"/>
      <x:c r="F172" s="39" t="str">
        <x:v>EXP00122</x:v>
      </x:c>
      <x:c r="G172" s="39" t="n">
        <x:v>45870</x:v>
      </x:c>
      <x:c r="H172" s="39" t="str">
        <x:v>DOD-W81XWH</x:v>
      </x:c>
      <x:c r="I172" s="39" t="str">
        <x:v>CORE_FACILITY</x:v>
      </x:c>
      <x:c r="J172" s="53" t="n">
        <x:v>2118.75</x:v>
      </x:c>
      <x:c r="K172" s="39"/>
      <x:c r="L172" s="39"/>
      <x:c r="M172" s="39"/>
      <x:c r="N172" s="39"/>
      <x:c r="O172" s="39"/>
    </x:row>
    <x:row r="173">
      <x:c r="A173" s="39" t="n">
        <x:v>45901</x:v>
      </x:c>
      <x:c r="B173" s="39" t="str">
        <x:v>TRAVEL</x:v>
      </x:c>
      <x:c r="C173" s="53" t="n">
        <x:v>5600</x:v>
      </x:c>
      <x:c r="D173" s="39"/>
      <x:c r="E173" s="39"/>
      <x:c r="F173" s="39" t="str">
        <x:v>EXP00123</x:v>
      </x:c>
      <x:c r="G173" s="39" t="n">
        <x:v>45901</x:v>
      </x:c>
      <x:c r="H173" s="39" t="str">
        <x:v>PCORI-12345</x:v>
      </x:c>
      <x:c r="I173" s="39" t="str">
        <x:v>CORE_FACILITY</x:v>
      </x:c>
      <x:c r="J173" s="53" t="n">
        <x:v>1221.04</x:v>
      </x:c>
      <x:c r="K173" s="39"/>
      <x:c r="L173" s="39"/>
      <x:c r="M173" s="39"/>
      <x:c r="N173" s="39"/>
      <x:c r="O173" s="39"/>
    </x:row>
    <x:row r="174">
      <x:c r="A174" s="39" t="n">
        <x:v>45931</x:v>
      </x:c>
      <x:c r="B174" s="39" t="str">
        <x:v>TRAVEL</x:v>
      </x:c>
      <x:c r="C174" s="53" t="n">
        <x:v>2800</x:v>
      </x:c>
      <x:c r="D174" s="39"/>
      <x:c r="E174" s="39"/>
      <x:c r="F174" s="39" t="str">
        <x:v>EXP00124</x:v>
      </x:c>
      <x:c r="G174" s="39" t="n">
        <x:v>45901</x:v>
      </x:c>
      <x:c r="H174" s="39" t="str">
        <x:v>NSF-2234567</x:v>
      </x:c>
      <x:c r="I174" s="39" t="str">
        <x:v>CORE_FACILITY</x:v>
      </x:c>
      <x:c r="J174" s="53" t="n">
        <x:v>333.78</x:v>
      </x:c>
      <x:c r="K174" s="39"/>
      <x:c r="L174" s="39"/>
      <x:c r="M174" s="39"/>
      <x:c r="N174" s="39"/>
      <x:c r="O174" s="39"/>
    </x:row>
    <x:row r="175">
      <x:c r="A175" s="39" t="n">
        <x:v>45962</x:v>
      </x:c>
      <x:c r="B175" s="39" t="str">
        <x:v>TRAVEL</x:v>
      </x:c>
      <x:c r="C175" s="53" t="n">
        <x:v>1400</x:v>
      </x:c>
      <x:c r="D175" s="39"/>
      <x:c r="E175" s="39"/>
      <x:c r="F175" s="39" t="str">
        <x:v>EXP00125</x:v>
      </x:c>
      <x:c r="G175" s="39" t="n">
        <x:v>45901</x:v>
      </x:c>
      <x:c r="H175" s="39" t="str">
        <x:v>R01-HL145821</x:v>
      </x:c>
      <x:c r="I175" s="39" t="str">
        <x:v>CORE_FACILITY</x:v>
      </x:c>
      <x:c r="J175" s="53" t="n">
        <x:v>1928.85</x:v>
      </x:c>
      <x:c r="K175" s="39"/>
      <x:c r="L175" s="39"/>
      <x:c r="M175" s="39"/>
      <x:c r="N175" s="39"/>
      <x:c r="O175" s="39"/>
    </x:row>
    <x:row r="176">
      <x:c r="A176" s="39" t="n">
        <x:v>45992</x:v>
      </x:c>
      <x:c r="B176" s="39" t="str">
        <x:v>TRAVEL</x:v>
      </x:c>
      <x:c r="C176" s="53" t="n">
        <x:v>1400</x:v>
      </x:c>
      <x:c r="D176" s="39"/>
      <x:c r="E176" s="39"/>
      <x:c r="F176" s="39" t="str">
        <x:v>EXP00126</x:v>
      </x:c>
      <x:c r="G176" s="39" t="n">
        <x:v>45931</x:v>
      </x:c>
      <x:c r="H176" s="39" t="str">
        <x:v>R01-CA198765</x:v>
      </x:c>
      <x:c r="I176" s="39" t="str">
        <x:v>CORE_FACILITY</x:v>
      </x:c>
      <x:c r="J176" s="53" t="n">
        <x:v>1103.34</x:v>
      </x:c>
      <x:c r="K176" s="39"/>
      <x:c r="L176" s="39"/>
      <x:c r="M176" s="39"/>
      <x:c r="N176" s="39"/>
      <x:c r="O176" s="39"/>
    </x:row>
    <x:row r="177">
      <x:c r="A177" s="39" t="n">
        <x:v>46023</x:v>
      </x:c>
      <x:c r="B177" s="39" t="str">
        <x:v>TRAVEL</x:v>
      </x:c>
      <x:c r="C177" s="53" t="n">
        <x:v>0</x:v>
      </x:c>
      <x:c r="D177" s="39"/>
      <x:c r="E177" s="39"/>
      <x:c r="F177" s="39" t="str">
        <x:v>EXP00127</x:v>
      </x:c>
      <x:c r="G177" s="39" t="n">
        <x:v>45931</x:v>
      </x:c>
      <x:c r="H177" s="39" t="str">
        <x:v>R01-HL145821</x:v>
      </x:c>
      <x:c r="I177" s="39" t="str">
        <x:v>CORE_FACILITY</x:v>
      </x:c>
      <x:c r="J177" s="53" t="n">
        <x:v>399.43</x:v>
      </x:c>
      <x:c r="K177" s="39"/>
      <x:c r="L177" s="39"/>
      <x:c r="M177" s="39"/>
      <x:c r="N177" s="39"/>
      <x:c r="O177" s="39"/>
    </x:row>
    <x:row r="178">
      <x:c r="A178" s="39" t="n">
        <x:v>46054</x:v>
      </x:c>
      <x:c r="B178" s="39" t="str">
        <x:v>TRAVEL</x:v>
      </x:c>
      <x:c r="C178" s="53" t="n">
        <x:v>4200</x:v>
      </x:c>
      <x:c r="D178" s="39"/>
      <x:c r="E178" s="39"/>
      <x:c r="F178" s="39" t="str">
        <x:v>EXP00128</x:v>
      </x:c>
      <x:c r="G178" s="39" t="n">
        <x:v>45931</x:v>
      </x:c>
      <x:c r="H178" s="39" t="str">
        <x:v>PCORI-12345</x:v>
      </x:c>
      <x:c r="I178" s="39" t="str">
        <x:v>CORE_FACILITY</x:v>
      </x:c>
      <x:c r="J178" s="53" t="n">
        <x:v>1122.26</x:v>
      </x:c>
      <x:c r="K178" s="39"/>
      <x:c r="L178" s="39"/>
      <x:c r="M178" s="39"/>
      <x:c r="N178" s="39"/>
      <x:c r="O178" s="39"/>
    </x:row>
    <x:row r="179">
      <x:c r="A179" s="39" t="n">
        <x:v>46082</x:v>
      </x:c>
      <x:c r="B179" s="39" t="str">
        <x:v>TRAVEL</x:v>
      </x:c>
      <x:c r="C179" s="53" t="n">
        <x:v>5600</x:v>
      </x:c>
      <x:c r="D179" s="39"/>
      <x:c r="E179" s="39"/>
      <x:c r="F179" s="39" t="str">
        <x:v>EXP00129</x:v>
      </x:c>
      <x:c r="G179" s="39" t="n">
        <x:v>45931</x:v>
      </x:c>
      <x:c r="H179" s="39" t="str">
        <x:v>K99-AG054321</x:v>
      </x:c>
      <x:c r="I179" s="39" t="str">
        <x:v>CORE_FACILITY</x:v>
      </x:c>
      <x:c r="J179" s="53" t="n">
        <x:v>522.4</x:v>
      </x:c>
      <x:c r="K179" s="39"/>
      <x:c r="L179" s="39"/>
      <x:c r="M179" s="39"/>
      <x:c r="N179" s="39"/>
      <x:c r="O179" s="39"/>
    </x:row>
    <x:row r="180">
      <x:c r="A180" s="39" t="n">
        <x:v>46113</x:v>
      </x:c>
      <x:c r="B180" s="39" t="str">
        <x:v>TRAVEL</x:v>
      </x:c>
      <x:c r="C180" s="53" t="n">
        <x:v>2800</x:v>
      </x:c>
      <x:c r="D180" s="39"/>
      <x:c r="E180" s="39"/>
      <x:c r="F180" s="39" t="str">
        <x:v>EXP00130</x:v>
      </x:c>
      <x:c r="G180" s="39" t="n">
        <x:v>45962</x:v>
      </x:c>
      <x:c r="H180" s="39" t="str">
        <x:v>K99-AG054321</x:v>
      </x:c>
      <x:c r="I180" s="39" t="str">
        <x:v>CORE_FACILITY</x:v>
      </x:c>
      <x:c r="J180" s="53" t="n">
        <x:v>2541.66</x:v>
      </x:c>
      <x:c r="K180" s="39"/>
      <x:c r="L180" s="39"/>
      <x:c r="M180" s="39"/>
      <x:c r="N180" s="39"/>
      <x:c r="O180" s="39"/>
    </x:row>
    <x:row r="181">
      <x:c r="A181" s="39" t="n">
        <x:v>46143</x:v>
      </x:c>
      <x:c r="B181" s="39" t="str">
        <x:v>TRAVEL</x:v>
      </x:c>
      <x:c r="C181" s="53" t="n">
        <x:v>1400</x:v>
      </x:c>
      <x:c r="D181" s="39"/>
      <x:c r="E181" s="39"/>
      <x:c r="F181" s="39" t="str">
        <x:v>EXP00131</x:v>
      </x:c>
      <x:c r="G181" s="39" t="n">
        <x:v>45962</x:v>
      </x:c>
      <x:c r="H181" s="39" t="str">
        <x:v>R01-CA198765</x:v>
      </x:c>
      <x:c r="I181" s="39" t="str">
        <x:v>CORE_FACILITY</x:v>
      </x:c>
      <x:c r="J181" s="53" t="n">
        <x:v>870.42</x:v>
      </x:c>
      <x:c r="K181" s="39"/>
      <x:c r="L181" s="39"/>
      <x:c r="M181" s="39"/>
      <x:c r="N181" s="39"/>
      <x:c r="O181" s="39"/>
    </x:row>
    <x:row r="182">
      <x:c r="A182" s="39" t="n">
        <x:v>46174</x:v>
      </x:c>
      <x:c r="B182" s="39" t="str">
        <x:v>TRAVEL</x:v>
      </x:c>
      <x:c r="C182" s="53" t="n">
        <x:v>0</x:v>
      </x:c>
      <x:c r="D182" s="39"/>
      <x:c r="E182" s="39"/>
      <x:c r="F182" s="39" t="str">
        <x:v>EXP00132</x:v>
      </x:c>
      <x:c r="G182" s="39" t="n">
        <x:v>45992</x:v>
      </x:c>
      <x:c r="H182" s="39" t="str">
        <x:v>DOD-W81XWH</x:v>
      </x:c>
      <x:c r="I182" s="39" t="str">
        <x:v>CORE_FACILITY</x:v>
      </x:c>
      <x:c r="J182" s="53" t="n">
        <x:v>363.8</x:v>
      </x:c>
      <x:c r="K182" s="39"/>
      <x:c r="L182" s="39"/>
      <x:c r="M182" s="39"/>
      <x:c r="N182" s="39"/>
      <x:c r="O182" s="39"/>
    </x:row>
    <x:row r="183">
      <x:c r="A183" s="39" t="n">
        <x:v>45839</x:v>
      </x:c>
      <x:c r="B183" s="39" t="str">
        <x:v>INTL_TRAVEL</x:v>
      </x:c>
      <x:c r="C183" s="53" t="n">
        <x:v>0</x:v>
      </x:c>
      <x:c r="D183" s="39"/>
      <x:c r="E183" s="39"/>
      <x:c r="F183" s="39" t="str">
        <x:v>EXP00133</x:v>
      </x:c>
      <x:c r="G183" s="39" t="n">
        <x:v>45992</x:v>
      </x:c>
      <x:c r="H183" s="39" t="str">
        <x:v>K99-AG054321</x:v>
      </x:c>
      <x:c r="I183" s="39" t="str">
        <x:v>CORE_FACILITY</x:v>
      </x:c>
      <x:c r="J183" s="53" t="n">
        <x:v>1848.67</x:v>
      </x:c>
      <x:c r="K183" s="39"/>
      <x:c r="L183" s="39"/>
      <x:c r="M183" s="39"/>
      <x:c r="N183" s="39"/>
      <x:c r="O183" s="39"/>
    </x:row>
    <x:row r="184">
      <x:c r="A184" s="39" t="n">
        <x:v>45870</x:v>
      </x:c>
      <x:c r="B184" s="39" t="str">
        <x:v>INTL_TRAVEL</x:v>
      </x:c>
      <x:c r="C184" s="53" t="n">
        <x:v>0</x:v>
      </x:c>
      <x:c r="D184" s="39"/>
      <x:c r="E184" s="39"/>
      <x:c r="F184" s="39" t="str">
        <x:v>EXP00134</x:v>
      </x:c>
      <x:c r="G184" s="39" t="n">
        <x:v>45992</x:v>
      </x:c>
      <x:c r="H184" s="39" t="str">
        <x:v>R01-HL145821</x:v>
      </x:c>
      <x:c r="I184" s="39" t="str">
        <x:v>CORE_FACILITY</x:v>
      </x:c>
      <x:c r="J184" s="53" t="n">
        <x:v>1221.87</x:v>
      </x:c>
      <x:c r="K184" s="39"/>
      <x:c r="L184" s="39"/>
      <x:c r="M184" s="39"/>
      <x:c r="N184" s="39"/>
      <x:c r="O184" s="39"/>
    </x:row>
    <x:row r="185">
      <x:c r="A185" s="39" t="n">
        <x:v>45901</x:v>
      </x:c>
      <x:c r="B185" s="39" t="str">
        <x:v>INTL_TRAVEL</x:v>
      </x:c>
      <x:c r="C185" s="53" t="n">
        <x:v>0</x:v>
      </x:c>
      <x:c r="D185" s="39"/>
      <x:c r="E185" s="39"/>
      <x:c r="F185" s="39" t="str">
        <x:v>EXP00135</x:v>
      </x:c>
      <x:c r="G185" s="39" t="n">
        <x:v>46023</x:v>
      </x:c>
      <x:c r="H185" s="39" t="str">
        <x:v>FDTN-CZ-891</x:v>
      </x:c>
      <x:c r="I185" s="39" t="str">
        <x:v>CORE_FACILITY</x:v>
      </x:c>
      <x:c r="J185" s="53" t="n">
        <x:v>688.97</x:v>
      </x:c>
      <x:c r="K185" s="39"/>
      <x:c r="L185" s="39"/>
      <x:c r="M185" s="39"/>
      <x:c r="N185" s="39"/>
      <x:c r="O185" s="39"/>
    </x:row>
    <x:row r="186">
      <x:c r="A186" s="39" t="n">
        <x:v>45931</x:v>
      </x:c>
      <x:c r="B186" s="39" t="str">
        <x:v>INTL_TRAVEL</x:v>
      </x:c>
      <x:c r="C186" s="53" t="n">
        <x:v>0</x:v>
      </x:c>
      <x:c r="D186" s="39"/>
      <x:c r="E186" s="39"/>
      <x:c r="F186" s="39" t="str">
        <x:v>EXP00136</x:v>
      </x:c>
      <x:c r="G186" s="39" t="n">
        <x:v>46023</x:v>
      </x:c>
      <x:c r="H186" s="39" t="str">
        <x:v>DOD-W81XWH</x:v>
      </x:c>
      <x:c r="I186" s="39" t="str">
        <x:v>CORE_FACILITY</x:v>
      </x:c>
      <x:c r="J186" s="53" t="n">
        <x:v>1412.61</x:v>
      </x:c>
      <x:c r="K186" s="39"/>
      <x:c r="L186" s="39"/>
      <x:c r="M186" s="39"/>
      <x:c r="N186" s="39"/>
      <x:c r="O186" s="39"/>
    </x:row>
    <x:row r="187">
      <x:c r="A187" s="39" t="n">
        <x:v>45962</x:v>
      </x:c>
      <x:c r="B187" s="39" t="str">
        <x:v>INTL_TRAVEL</x:v>
      </x:c>
      <x:c r="C187" s="53" t="n">
        <x:v>7000</x:v>
      </x:c>
      <x:c r="D187" s="39"/>
      <x:c r="E187" s="39"/>
      <x:c r="F187" s="39" t="str">
        <x:v>EXP00137</x:v>
      </x:c>
      <x:c r="G187" s="39" t="n">
        <x:v>46023</x:v>
      </x:c>
      <x:c r="H187" s="39" t="str">
        <x:v>NSF-2234567</x:v>
      </x:c>
      <x:c r="I187" s="39" t="str">
        <x:v>CORE_FACILITY</x:v>
      </x:c>
      <x:c r="J187" s="53" t="n">
        <x:v>408.32</x:v>
      </x:c>
      <x:c r="K187" s="39"/>
      <x:c r="L187" s="39"/>
      <x:c r="M187" s="39"/>
      <x:c r="N187" s="39"/>
      <x:c r="O187" s="39"/>
    </x:row>
    <x:row r="188">
      <x:c r="A188" s="39" t="n">
        <x:v>45992</x:v>
      </x:c>
      <x:c r="B188" s="39" t="str">
        <x:v>INTL_TRAVEL</x:v>
      </x:c>
      <x:c r="C188" s="53" t="n">
        <x:v>0</x:v>
      </x:c>
      <x:c r="D188" s="39"/>
      <x:c r="E188" s="39"/>
      <x:c r="F188" s="39" t="str">
        <x:v>EXP00138</x:v>
      </x:c>
      <x:c r="G188" s="39" t="n">
        <x:v>46023</x:v>
      </x:c>
      <x:c r="H188" s="39" t="str">
        <x:v>R01-HL145821</x:v>
      </x:c>
      <x:c r="I188" s="39" t="str">
        <x:v>CORE_FACILITY</x:v>
      </x:c>
      <x:c r="J188" s="53" t="n">
        <x:v>734.22</x:v>
      </x:c>
      <x:c r="K188" s="39"/>
      <x:c r="L188" s="39"/>
      <x:c r="M188" s="39"/>
      <x:c r="N188" s="39"/>
      <x:c r="O188" s="39"/>
    </x:row>
    <x:row r="189">
      <x:c r="A189" s="39" t="n">
        <x:v>46023</x:v>
      </x:c>
      <x:c r="B189" s="39" t="str">
        <x:v>INTL_TRAVEL</x:v>
      </x:c>
      <x:c r="C189" s="53" t="n">
        <x:v>0</x:v>
      </x:c>
      <x:c r="D189" s="39"/>
      <x:c r="E189" s="39"/>
      <x:c r="F189" s="39" t="str">
        <x:v>EXP00139</x:v>
      </x:c>
      <x:c r="G189" s="39" t="n">
        <x:v>46054</x:v>
      </x:c>
      <x:c r="H189" s="39" t="str">
        <x:v>K99-AG054321</x:v>
      </x:c>
      <x:c r="I189" s="39" t="str">
        <x:v>CORE_FACILITY</x:v>
      </x:c>
      <x:c r="J189" s="53" t="n">
        <x:v>1346.17</x:v>
      </x:c>
      <x:c r="K189" s="39"/>
      <x:c r="L189" s="39"/>
      <x:c r="M189" s="39"/>
      <x:c r="N189" s="39"/>
      <x:c r="O189" s="39"/>
    </x:row>
    <x:row r="190">
      <x:c r="A190" s="39" t="n">
        <x:v>46054</x:v>
      </x:c>
      <x:c r="B190" s="39" t="str">
        <x:v>INTL_TRAVEL</x:v>
      </x:c>
      <x:c r="C190" s="53" t="n">
        <x:v>0</x:v>
      </x:c>
      <x:c r="D190" s="39"/>
      <x:c r="E190" s="39"/>
      <x:c r="F190" s="39" t="str">
        <x:v>EXP00140</x:v>
      </x:c>
      <x:c r="G190" s="39" t="n">
        <x:v>46054</x:v>
      </x:c>
      <x:c r="H190" s="39" t="str">
        <x:v>PCORI-12345</x:v>
      </x:c>
      <x:c r="I190" s="39" t="str">
        <x:v>CORE_FACILITY</x:v>
      </x:c>
      <x:c r="J190" s="53" t="n">
        <x:v>842.62</x:v>
      </x:c>
      <x:c r="K190" s="39"/>
      <x:c r="L190" s="39"/>
      <x:c r="M190" s="39"/>
      <x:c r="N190" s="39"/>
      <x:c r="O190" s="39"/>
    </x:row>
    <x:row r="191">
      <x:c r="A191" s="39" t="n">
        <x:v>46082</x:v>
      </x:c>
      <x:c r="B191" s="39" t="str">
        <x:v>INTL_TRAVEL</x:v>
      </x:c>
      <x:c r="C191" s="53" t="n">
        <x:v>0</x:v>
      </x:c>
      <x:c r="D191" s="39"/>
      <x:c r="E191" s="39"/>
      <x:c r="F191" s="39" t="str">
        <x:v>EXP00141</x:v>
      </x:c>
      <x:c r="G191" s="39" t="n">
        <x:v>46054</x:v>
      </x:c>
      <x:c r="H191" s="39" t="str">
        <x:v>R01-HL145821</x:v>
      </x:c>
      <x:c r="I191" s="39" t="str">
        <x:v>CORE_FACILITY</x:v>
      </x:c>
      <x:c r="J191" s="53" t="n">
        <x:v>767.34</x:v>
      </x:c>
      <x:c r="K191" s="39"/>
      <x:c r="L191" s="39"/>
      <x:c r="M191" s="39"/>
      <x:c r="N191" s="39"/>
      <x:c r="O191" s="39"/>
    </x:row>
    <x:row r="192">
      <x:c r="A192" s="39" t="n">
        <x:v>46113</x:v>
      </x:c>
      <x:c r="B192" s="39" t="str">
        <x:v>INTL_TRAVEL</x:v>
      </x:c>
      <x:c r="C192" s="53" t="n">
        <x:v>7000</x:v>
      </x:c>
      <x:c r="D192" s="39"/>
      <x:c r="E192" s="39"/>
      <x:c r="F192" s="39" t="str">
        <x:v>EXP00142</x:v>
      </x:c>
      <x:c r="G192" s="39" t="n">
        <x:v>46054</x:v>
      </x:c>
      <x:c r="H192" s="39" t="str">
        <x:v>DOD-W81XWH</x:v>
      </x:c>
      <x:c r="I192" s="39" t="str">
        <x:v>CORE_FACILITY</x:v>
      </x:c>
      <x:c r="J192" s="53" t="n">
        <x:v>394.87</x:v>
      </x:c>
      <x:c r="K192" s="39"/>
      <x:c r="L192" s="39"/>
      <x:c r="M192" s="39"/>
      <x:c r="N192" s="39"/>
      <x:c r="O192" s="39"/>
    </x:row>
    <x:row r="193">
      <x:c r="A193" s="39" t="n">
        <x:v>46143</x:v>
      </x:c>
      <x:c r="B193" s="39" t="str">
        <x:v>INTL_TRAVEL</x:v>
      </x:c>
      <x:c r="C193" s="53" t="n">
        <x:v>0</x:v>
      </x:c>
      <x:c r="D193" s="39"/>
      <x:c r="E193" s="39"/>
      <x:c r="F193" s="39" t="str">
        <x:v>EXP00143</x:v>
      </x:c>
      <x:c r="G193" s="39" t="n">
        <x:v>46082</x:v>
      </x:c>
      <x:c r="H193" s="39" t="str">
        <x:v>R01-CA198765</x:v>
      </x:c>
      <x:c r="I193" s="39" t="str">
        <x:v>CORE_FACILITY</x:v>
      </x:c>
      <x:c r="J193" s="53" t="n">
        <x:v>172.63</x:v>
      </x:c>
      <x:c r="K193" s="39"/>
      <x:c r="L193" s="39"/>
      <x:c r="M193" s="39"/>
      <x:c r="N193" s="39"/>
      <x:c r="O193" s="39"/>
    </x:row>
    <x:row r="194">
      <x:c r="A194" s="39" t="n">
        <x:v>46174</x:v>
      </x:c>
      <x:c r="B194" s="39" t="str">
        <x:v>INTL_TRAVEL</x:v>
      </x:c>
      <x:c r="C194" s="53" t="n">
        <x:v>0</x:v>
      </x:c>
      <x:c r="D194" s="39"/>
      <x:c r="E194" s="39"/>
      <x:c r="F194" s="39" t="str">
        <x:v>EXP00144</x:v>
      </x:c>
      <x:c r="G194" s="39" t="n">
        <x:v>46082</x:v>
      </x:c>
      <x:c r="H194" s="39" t="str">
        <x:v>FDTN-CZ-891</x:v>
      </x:c>
      <x:c r="I194" s="39" t="str">
        <x:v>CORE_FACILITY</x:v>
      </x:c>
      <x:c r="J194" s="53" t="n">
        <x:v>1134.86</x:v>
      </x:c>
      <x:c r="K194" s="39"/>
      <x:c r="L194" s="39"/>
      <x:c r="M194" s="39"/>
      <x:c r="N194" s="39"/>
      <x:c r="O194" s="39"/>
    </x:row>
    <x:row r="195">
      <x:c r="A195" s="39" t="n">
        <x:v>45839</x:v>
      </x:c>
      <x:c r="B195" s="39" t="str">
        <x:v>OFFICE</x:v>
      </x:c>
      <x:c r="C195" s="53" t="n">
        <x:v>800</x:v>
      </x:c>
      <x:c r="D195" s="39"/>
      <x:c r="E195" s="39"/>
      <x:c r="F195" s="39" t="str">
        <x:v>EXP00145</x:v>
      </x:c>
      <x:c r="G195" s="39" t="n">
        <x:v>46082</x:v>
      </x:c>
      <x:c r="H195" s="39" t="str">
        <x:v>NSF-2234567</x:v>
      </x:c>
      <x:c r="I195" s="39" t="str">
        <x:v>CORE_FACILITY</x:v>
      </x:c>
      <x:c r="J195" s="53" t="n">
        <x:v>845.02</x:v>
      </x:c>
      <x:c r="K195" s="39"/>
      <x:c r="L195" s="39"/>
      <x:c r="M195" s="39"/>
      <x:c r="N195" s="39"/>
      <x:c r="O195" s="39"/>
    </x:row>
    <x:row r="196">
      <x:c r="A196" s="39" t="n">
        <x:v>45870</x:v>
      </x:c>
      <x:c r="B196" s="39" t="str">
        <x:v>OFFICE</x:v>
      </x:c>
      <x:c r="C196" s="53" t="n">
        <x:v>800</x:v>
      </x:c>
      <x:c r="D196" s="39"/>
      <x:c r="E196" s="39"/>
      <x:c r="F196" s="39" t="str">
        <x:v>EXP00146</x:v>
      </x:c>
      <x:c r="G196" s="39" t="n">
        <x:v>46082</x:v>
      </x:c>
      <x:c r="H196" s="39" t="str">
        <x:v>DOD-W81XWH</x:v>
      </x:c>
      <x:c r="I196" s="39" t="str">
        <x:v>CORE_FACILITY</x:v>
      </x:c>
      <x:c r="J196" s="53" t="n">
        <x:v>1027.91</x:v>
      </x:c>
      <x:c r="K196" s="39"/>
      <x:c r="L196" s="39"/>
      <x:c r="M196" s="39"/>
      <x:c r="N196" s="39"/>
      <x:c r="O196" s="39"/>
    </x:row>
    <x:row r="197">
      <x:c r="A197" s="39" t="n">
        <x:v>45901</x:v>
      </x:c>
      <x:c r="B197" s="39" t="str">
        <x:v>OFFICE</x:v>
      </x:c>
      <x:c r="C197" s="53" t="n">
        <x:v>800</x:v>
      </x:c>
      <x:c r="D197" s="39"/>
      <x:c r="E197" s="39"/>
      <x:c r="F197" s="39" t="str">
        <x:v>EXP00147</x:v>
      </x:c>
      <x:c r="G197" s="39" t="n">
        <x:v>46113</x:v>
      </x:c>
      <x:c r="H197" s="39" t="str">
        <x:v>K99-AG054321</x:v>
      </x:c>
      <x:c r="I197" s="39" t="str">
        <x:v>CORE_FACILITY</x:v>
      </x:c>
      <x:c r="J197" s="53" t="n">
        <x:v>236.85</x:v>
      </x:c>
      <x:c r="K197" s="39"/>
      <x:c r="L197" s="39"/>
      <x:c r="M197" s="39"/>
      <x:c r="N197" s="39"/>
      <x:c r="O197" s="39"/>
    </x:row>
    <x:row r="198">
      <x:c r="A198" s="39" t="n">
        <x:v>45931</x:v>
      </x:c>
      <x:c r="B198" s="39" t="str">
        <x:v>OFFICE</x:v>
      </x:c>
      <x:c r="C198" s="53" t="n">
        <x:v>800</x:v>
      </x:c>
      <x:c r="D198" s="39"/>
      <x:c r="E198" s="39"/>
      <x:c r="F198" s="39" t="str">
        <x:v>EXP00148</x:v>
      </x:c>
      <x:c r="G198" s="39" t="n">
        <x:v>46113</x:v>
      </x:c>
      <x:c r="H198" s="39" t="str">
        <x:v>DOD-W81XWH</x:v>
      </x:c>
      <x:c r="I198" s="39" t="str">
        <x:v>CORE_FACILITY</x:v>
      </x:c>
      <x:c r="J198" s="53" t="n">
        <x:v>2996.73</x:v>
      </x:c>
      <x:c r="K198" s="39"/>
      <x:c r="L198" s="39"/>
      <x:c r="M198" s="39"/>
      <x:c r="N198" s="39"/>
      <x:c r="O198" s="39"/>
    </x:row>
    <x:row r="199">
      <x:c r="A199" s="39" t="n">
        <x:v>45962</x:v>
      </x:c>
      <x:c r="B199" s="39" t="str">
        <x:v>OFFICE</x:v>
      </x:c>
      <x:c r="C199" s="53" t="n">
        <x:v>800</x:v>
      </x:c>
      <x:c r="D199" s="39"/>
      <x:c r="E199" s="39"/>
      <x:c r="F199" s="39" t="str">
        <x:v>EXP00149</x:v>
      </x:c>
      <x:c r="G199" s="39" t="n">
        <x:v>46143</x:v>
      </x:c>
      <x:c r="H199" s="39" t="str">
        <x:v>PCORI-12345</x:v>
      </x:c>
      <x:c r="I199" s="39" t="str">
        <x:v>CORE_FACILITY</x:v>
      </x:c>
      <x:c r="J199" s="53" t="n">
        <x:v>1353.1</x:v>
      </x:c>
      <x:c r="K199" s="39"/>
      <x:c r="L199" s="39"/>
      <x:c r="M199" s="39"/>
      <x:c r="N199" s="39"/>
      <x:c r="O199" s="39"/>
    </x:row>
    <x:row r="200">
      <x:c r="A200" s="39" t="n">
        <x:v>45992</x:v>
      </x:c>
      <x:c r="B200" s="39" t="str">
        <x:v>OFFICE</x:v>
      </x:c>
      <x:c r="C200" s="53" t="n">
        <x:v>800</x:v>
      </x:c>
      <x:c r="D200" s="39"/>
      <x:c r="E200" s="39"/>
      <x:c r="F200" s="39" t="str">
        <x:v>EXP00150</x:v>
      </x:c>
      <x:c r="G200" s="39" t="n">
        <x:v>46143</x:v>
      </x:c>
      <x:c r="H200" s="39" t="str">
        <x:v>R01-HL145821</x:v>
      </x:c>
      <x:c r="I200" s="39" t="str">
        <x:v>CORE_FACILITY</x:v>
      </x:c>
      <x:c r="J200" s="53" t="n">
        <x:v>28.83</x:v>
      </x:c>
      <x:c r="K200" s="39"/>
      <x:c r="L200" s="39"/>
      <x:c r="M200" s="39"/>
      <x:c r="N200" s="39"/>
      <x:c r="O200" s="39"/>
    </x:row>
    <x:row r="201">
      <x:c r="A201" t="n">
        <x:v>46023</x:v>
      </x:c>
      <x:c r="B201" t="str">
        <x:v>OFFICE</x:v>
      </x:c>
      <x:c r="C201" s="30" t="n">
        <x:v>800</x:v>
      </x:c>
      <x:c r="F201" t="str">
        <x:v>EXP00151</x:v>
      </x:c>
      <x:c r="G201" t="n">
        <x:v>46143</x:v>
      </x:c>
      <x:c r="H201" t="str">
        <x:v>FDTN-CZ-891</x:v>
      </x:c>
      <x:c r="I201" t="str">
        <x:v>CORE_FACILITY</x:v>
      </x:c>
      <x:c r="J201" s="30" t="n">
        <x:v>1396.45</x:v>
      </x:c>
    </x:row>
    <x:row r="202">
      <x:c r="A202" t="n">
        <x:v>46054</x:v>
      </x:c>
      <x:c r="B202" t="str">
        <x:v>OFFICE</x:v>
      </x:c>
      <x:c r="C202" s="30" t="n">
        <x:v>800</x:v>
      </x:c>
      <x:c r="F202" t="str">
        <x:v>EXP00152</x:v>
      </x:c>
      <x:c r="G202" t="n">
        <x:v>46143</x:v>
      </x:c>
      <x:c r="H202" t="str">
        <x:v>NSF-2234567</x:v>
      </x:c>
      <x:c r="I202" t="str">
        <x:v>CORE_FACILITY</x:v>
      </x:c>
      <x:c r="J202" s="30" t="n">
        <x:v>564.61</x:v>
      </x:c>
    </x:row>
    <x:row r="203">
      <x:c r="A203" t="n">
        <x:v>46082</x:v>
      </x:c>
      <x:c r="B203" t="str">
        <x:v>OFFICE</x:v>
      </x:c>
      <x:c r="C203" s="30" t="n">
        <x:v>800</x:v>
      </x:c>
      <x:c r="F203" t="str">
        <x:v>EXP00153</x:v>
      </x:c>
      <x:c r="G203" t="n">
        <x:v>46174</x:v>
      </x:c>
      <x:c r="H203" t="str">
        <x:v>R01-HL145821</x:v>
      </x:c>
      <x:c r="I203" t="str">
        <x:v>CORE_FACILITY</x:v>
      </x:c>
      <x:c r="J203" s="30" t="n">
        <x:v>2082.69</x:v>
      </x:c>
    </x:row>
    <x:row r="204">
      <x:c r="A204" t="n">
        <x:v>46113</x:v>
      </x:c>
      <x:c r="B204" t="str">
        <x:v>OFFICE</x:v>
      </x:c>
      <x:c r="C204" s="30" t="n">
        <x:v>800</x:v>
      </x:c>
      <x:c r="F204" t="str">
        <x:v>EXP00154</x:v>
      </x:c>
      <x:c r="G204" t="n">
        <x:v>46174</x:v>
      </x:c>
      <x:c r="H204" t="str">
        <x:v>K99-AG054321</x:v>
      </x:c>
      <x:c r="I204" t="str">
        <x:v>CORE_FACILITY</x:v>
      </x:c>
      <x:c r="J204" s="30" t="n">
        <x:v>361.13</x:v>
      </x:c>
    </x:row>
    <x:row r="205">
      <x:c r="A205" t="n">
        <x:v>46143</x:v>
      </x:c>
      <x:c r="B205" t="str">
        <x:v>OFFICE</x:v>
      </x:c>
      <x:c r="C205" s="30" t="n">
        <x:v>800</x:v>
      </x:c>
      <x:c r="F205" t="str">
        <x:v>EXP00155</x:v>
      </x:c>
      <x:c r="G205" t="n">
        <x:v>46174</x:v>
      </x:c>
      <x:c r="H205" t="str">
        <x:v>FDTN-CZ-891</x:v>
      </x:c>
      <x:c r="I205" t="str">
        <x:v>CORE_FACILITY</x:v>
      </x:c>
      <x:c r="J205" s="30" t="n">
        <x:v>433.9</x:v>
      </x:c>
    </x:row>
    <x:row r="206">
      <x:c r="A206" t="n">
        <x:v>46174</x:v>
      </x:c>
      <x:c r="B206" t="str">
        <x:v>OFFICE</x:v>
      </x:c>
      <x:c r="C206" s="30" t="n">
        <x:v>800</x:v>
      </x:c>
      <x:c r="F206" t="str">
        <x:v>EXP00156</x:v>
      </x:c>
      <x:c r="G206" t="n">
        <x:v>46174</x:v>
      </x:c>
      <x:c r="H206" t="str">
        <x:v>NSF-2234567</x:v>
      </x:c>
      <x:c r="I206" t="str">
        <x:v>CORE_FACILITY</x:v>
      </x:c>
      <x:c r="J206" s="30" t="n">
        <x:v>610.42</x:v>
      </x:c>
    </x:row>
    <x:row r="207">
      <x:c r="A207" t="n">
        <x:v>45839</x:v>
      </x:c>
      <x:c r="B207" t="str">
        <x:v>PHONE</x:v>
      </x:c>
      <x:c r="C207" s="30" t="n">
        <x:v>350</x:v>
      </x:c>
      <x:c r="F207" t="str">
        <x:v>EXP00157</x:v>
      </x:c>
      <x:c r="G207" t="n">
        <x:v>45839</x:v>
      </x:c>
      <x:c r="H207" t="str">
        <x:v>R01-CA198765</x:v>
      </x:c>
      <x:c r="I207" t="str">
        <x:v>LAB_SAFETY</x:v>
      </x:c>
      <x:c r="J207" s="30" t="n">
        <x:v>374.69</x:v>
      </x:c>
    </x:row>
    <x:row r="208">
      <x:c r="A208" t="n">
        <x:v>45870</x:v>
      </x:c>
      <x:c r="B208" t="str">
        <x:v>PHONE</x:v>
      </x:c>
      <x:c r="C208" s="30" t="n">
        <x:v>350</x:v>
      </x:c>
      <x:c r="F208" t="str">
        <x:v>EXP00158</x:v>
      </x:c>
      <x:c r="G208" t="n">
        <x:v>45839</x:v>
      </x:c>
      <x:c r="H208" t="str">
        <x:v>NSF-2234567</x:v>
      </x:c>
      <x:c r="I208" t="str">
        <x:v>LAB_SAFETY</x:v>
      </x:c>
      <x:c r="J208" s="30" t="n">
        <x:v>356.33</x:v>
      </x:c>
    </x:row>
    <x:row r="209">
      <x:c r="A209" t="n">
        <x:v>45901</x:v>
      </x:c>
      <x:c r="B209" t="str">
        <x:v>PHONE</x:v>
      </x:c>
      <x:c r="C209" s="30" t="n">
        <x:v>350</x:v>
      </x:c>
      <x:c r="F209" t="str">
        <x:v>EXP00159</x:v>
      </x:c>
      <x:c r="G209" t="n">
        <x:v>45870</x:v>
      </x:c>
      <x:c r="H209" t="str">
        <x:v>DOD-W81XWH</x:v>
      </x:c>
      <x:c r="I209" t="str">
        <x:v>LAB_SAFETY</x:v>
      </x:c>
      <x:c r="J209" s="30" t="n">
        <x:v>35.15</x:v>
      </x:c>
    </x:row>
    <x:row r="210">
      <x:c r="A210" t="n">
        <x:v>45931</x:v>
      </x:c>
      <x:c r="B210" t="str">
        <x:v>PHONE</x:v>
      </x:c>
      <x:c r="C210" s="30" t="n">
        <x:v>350</x:v>
      </x:c>
      <x:c r="F210" t="str">
        <x:v>EXP00160</x:v>
      </x:c>
      <x:c r="G210" t="n">
        <x:v>45870</x:v>
      </x:c>
      <x:c r="H210" t="str">
        <x:v>R01-HL145821</x:v>
      </x:c>
      <x:c r="I210" t="str">
        <x:v>LAB_SAFETY</x:v>
      </x:c>
      <x:c r="J210" s="30" t="n">
        <x:v>239.31</x:v>
      </x:c>
    </x:row>
    <x:row r="211">
      <x:c r="A211" t="n">
        <x:v>45962</x:v>
      </x:c>
      <x:c r="B211" t="str">
        <x:v>PHONE</x:v>
      </x:c>
      <x:c r="C211" s="30" t="n">
        <x:v>350</x:v>
      </x:c>
      <x:c r="F211" t="str">
        <x:v>EXP00161</x:v>
      </x:c>
      <x:c r="G211" t="n">
        <x:v>45870</x:v>
      </x:c>
      <x:c r="H211" t="str">
        <x:v>R01-CA198765</x:v>
      </x:c>
      <x:c r="I211" t="str">
        <x:v>LAB_SAFETY</x:v>
      </x:c>
      <x:c r="J211" s="30" t="n">
        <x:v>195.68</x:v>
      </x:c>
    </x:row>
    <x:row r="212">
      <x:c r="A212" t="n">
        <x:v>45992</x:v>
      </x:c>
      <x:c r="B212" t="str">
        <x:v>PHONE</x:v>
      </x:c>
      <x:c r="C212" s="30" t="n">
        <x:v>350</x:v>
      </x:c>
      <x:c r="F212" t="str">
        <x:v>EXP00162</x:v>
      </x:c>
      <x:c r="G212" t="n">
        <x:v>45870</x:v>
      </x:c>
      <x:c r="H212" t="str">
        <x:v>FDTN-CZ-891</x:v>
      </x:c>
      <x:c r="I212" t="str">
        <x:v>LAB_SAFETY</x:v>
      </x:c>
      <x:c r="J212" s="30" t="n">
        <x:v>219.02</x:v>
      </x:c>
    </x:row>
    <x:row r="213">
      <x:c r="A213" t="n">
        <x:v>46023</x:v>
      </x:c>
      <x:c r="B213" t="str">
        <x:v>PHONE</x:v>
      </x:c>
      <x:c r="C213" s="30" t="n">
        <x:v>350</x:v>
      </x:c>
      <x:c r="F213" t="str">
        <x:v>EXP00163</x:v>
      </x:c>
      <x:c r="G213" t="n">
        <x:v>45901</x:v>
      </x:c>
      <x:c r="H213" t="str">
        <x:v>NSF-2234567</x:v>
      </x:c>
      <x:c r="I213" t="str">
        <x:v>LAB_SAFETY</x:v>
      </x:c>
      <x:c r="J213" s="30" t="n">
        <x:v>352.55</x:v>
      </x:c>
    </x:row>
    <x:row r="214">
      <x:c r="A214" t="n">
        <x:v>46054</x:v>
      </x:c>
      <x:c r="B214" t="str">
        <x:v>PHONE</x:v>
      </x:c>
      <x:c r="C214" s="30" t="n">
        <x:v>350</x:v>
      </x:c>
      <x:c r="F214" t="str">
        <x:v>EXP00164</x:v>
      </x:c>
      <x:c r="G214" t="n">
        <x:v>45901</x:v>
      </x:c>
      <x:c r="H214" t="str">
        <x:v>R01-HL145821</x:v>
      </x:c>
      <x:c r="I214" t="str">
        <x:v>LAB_SAFETY</x:v>
      </x:c>
      <x:c r="J214" s="30" t="n">
        <x:v>87.32</x:v>
      </x:c>
    </x:row>
    <x:row r="215">
      <x:c r="A215" t="n">
        <x:v>46082</x:v>
      </x:c>
      <x:c r="B215" t="str">
        <x:v>PHONE</x:v>
      </x:c>
      <x:c r="C215" s="30" t="n">
        <x:v>350</x:v>
      </x:c>
      <x:c r="F215" t="str">
        <x:v>EXP00165</x:v>
      </x:c>
      <x:c r="G215" t="n">
        <x:v>45901</x:v>
      </x:c>
      <x:c r="H215" t="str">
        <x:v>FDTN-CZ-891</x:v>
      </x:c>
      <x:c r="I215" t="str">
        <x:v>LAB_SAFETY</x:v>
      </x:c>
      <x:c r="J215" s="30" t="n">
        <x:v>201.4</x:v>
      </x:c>
    </x:row>
    <x:row r="216">
      <x:c r="A216" t="n">
        <x:v>46113</x:v>
      </x:c>
      <x:c r="B216" t="str">
        <x:v>PHONE</x:v>
      </x:c>
      <x:c r="C216" s="30" t="n">
        <x:v>350</x:v>
      </x:c>
      <x:c r="F216" t="str">
        <x:v>EXP00166</x:v>
      </x:c>
      <x:c r="G216" t="n">
        <x:v>45901</x:v>
      </x:c>
      <x:c r="H216" t="str">
        <x:v>DOD-W81XWH</x:v>
      </x:c>
      <x:c r="I216" t="str">
        <x:v>LAB_SAFETY</x:v>
      </x:c>
      <x:c r="J216" s="30" t="n">
        <x:v>22.82</x:v>
      </x:c>
    </x:row>
    <x:row r="217">
      <x:c r="A217" t="n">
        <x:v>46143</x:v>
      </x:c>
      <x:c r="B217" t="str">
        <x:v>PHONE</x:v>
      </x:c>
      <x:c r="C217" s="30" t="n">
        <x:v>350</x:v>
      </x:c>
      <x:c r="F217" t="str">
        <x:v>EXP00167</x:v>
      </x:c>
      <x:c r="G217" t="n">
        <x:v>45931</x:v>
      </x:c>
      <x:c r="H217" t="str">
        <x:v>NSF-2234567</x:v>
      </x:c>
      <x:c r="I217" t="str">
        <x:v>LAB_SAFETY</x:v>
      </x:c>
      <x:c r="J217" s="30" t="n">
        <x:v>149.81</x:v>
      </x:c>
    </x:row>
    <x:row r="218">
      <x:c r="A218" t="n">
        <x:v>46174</x:v>
      </x:c>
      <x:c r="B218" t="str">
        <x:v>PHONE</x:v>
      </x:c>
      <x:c r="C218" s="30" t="n">
        <x:v>350</x:v>
      </x:c>
      <x:c r="F218" t="str">
        <x:v>EXP00168</x:v>
      </x:c>
      <x:c r="G218" t="n">
        <x:v>45931</x:v>
      </x:c>
      <x:c r="H218" t="str">
        <x:v>PCORI-12345</x:v>
      </x:c>
      <x:c r="I218" t="str">
        <x:v>LAB_SAFETY</x:v>
      </x:c>
      <x:c r="J218" s="30" t="n">
        <x:v>15.4</x:v>
      </x:c>
    </x:row>
    <x:row r="219">
      <x:c r="A219" t="n">
        <x:v>45839</x:v>
      </x:c>
      <x:c r="B219" t="str">
        <x:v>SOFTWARE</x:v>
      </x:c>
      <x:c r="C219" s="30" t="n">
        <x:v>16500</x:v>
      </x:c>
      <x:c r="F219" t="str">
        <x:v>EXP00169</x:v>
      </x:c>
      <x:c r="G219" t="n">
        <x:v>45931</x:v>
      </x:c>
      <x:c r="H219" t="str">
        <x:v>DOD-W81XWH</x:v>
      </x:c>
      <x:c r="I219" t="str">
        <x:v>LAB_SAFETY</x:v>
      </x:c>
      <x:c r="J219" s="30" t="n">
        <x:v>279.93</x:v>
      </x:c>
    </x:row>
    <x:row r="220">
      <x:c r="A220" t="n">
        <x:v>45870</x:v>
      </x:c>
      <x:c r="B220" t="str">
        <x:v>SOFTWARE</x:v>
      </x:c>
      <x:c r="C220" s="30" t="n">
        <x:v>0</x:v>
      </x:c>
      <x:c r="F220" t="str">
        <x:v>EXP00170</x:v>
      </x:c>
      <x:c r="G220" t="n">
        <x:v>45931</x:v>
      </x:c>
      <x:c r="H220" t="str">
        <x:v>FDTN-CZ-891</x:v>
      </x:c>
      <x:c r="I220" t="str">
        <x:v>LAB_SAFETY</x:v>
      </x:c>
      <x:c r="J220" s="30" t="n">
        <x:v>218.08</x:v>
      </x:c>
    </x:row>
    <x:row r="221">
      <x:c r="A221" t="n">
        <x:v>45901</x:v>
      </x:c>
      <x:c r="B221" t="str">
        <x:v>SOFTWARE</x:v>
      </x:c>
      <x:c r="C221" s="30" t="n">
        <x:v>0</x:v>
      </x:c>
      <x:c r="F221" t="str">
        <x:v>EXP00171</x:v>
      </x:c>
      <x:c r="G221" t="n">
        <x:v>45962</x:v>
      </x:c>
      <x:c r="H221" t="str">
        <x:v>FDTN-CZ-891</x:v>
      </x:c>
      <x:c r="I221" t="str">
        <x:v>LAB_SAFETY</x:v>
      </x:c>
      <x:c r="J221" s="30" t="n">
        <x:v>211.58</x:v>
      </x:c>
    </x:row>
    <x:row r="222">
      <x:c r="A222" t="n">
        <x:v>45931</x:v>
      </x:c>
      <x:c r="B222" t="str">
        <x:v>SOFTWARE</x:v>
      </x:c>
      <x:c r="C222" s="30" t="n">
        <x:v>0</x:v>
      </x:c>
      <x:c r="F222" t="str">
        <x:v>EXP00172</x:v>
      </x:c>
      <x:c r="G222" t="n">
        <x:v>45962</x:v>
      </x:c>
      <x:c r="H222" t="str">
        <x:v>R01-HL145821</x:v>
      </x:c>
      <x:c r="I222" t="str">
        <x:v>LAB_SAFETY</x:v>
      </x:c>
      <x:c r="J222" s="30" t="n">
        <x:v>140.42</x:v>
      </x:c>
    </x:row>
    <x:row r="223">
      <x:c r="A223" t="n">
        <x:v>45962</x:v>
      </x:c>
      <x:c r="B223" t="str">
        <x:v>SOFTWARE</x:v>
      </x:c>
      <x:c r="C223" s="30" t="n">
        <x:v>0</x:v>
      </x:c>
      <x:c r="F223" t="str">
        <x:v>EXP00173</x:v>
      </x:c>
      <x:c r="G223" t="n">
        <x:v>45962</x:v>
      </x:c>
      <x:c r="H223" t="str">
        <x:v>R01-CA198765</x:v>
      </x:c>
      <x:c r="I223" t="str">
        <x:v>LAB_SAFETY</x:v>
      </x:c>
      <x:c r="J223" s="30" t="n">
        <x:v>367.43</x:v>
      </x:c>
    </x:row>
    <x:row r="224">
      <x:c r="A224" t="n">
        <x:v>45992</x:v>
      </x:c>
      <x:c r="B224" t="str">
        <x:v>SOFTWARE</x:v>
      </x:c>
      <x:c r="C224" s="30" t="n">
        <x:v>0</x:v>
      </x:c>
      <x:c r="F224" t="str">
        <x:v>EXP00174</x:v>
      </x:c>
      <x:c r="G224" t="n">
        <x:v>45992</x:v>
      </x:c>
      <x:c r="H224" t="str">
        <x:v>PCORI-12345</x:v>
      </x:c>
      <x:c r="I224" t="str">
        <x:v>LAB_SAFETY</x:v>
      </x:c>
      <x:c r="J224" s="30" t="n">
        <x:v>379.68</x:v>
      </x:c>
    </x:row>
    <x:row r="225">
      <x:c r="A225" t="n">
        <x:v>46023</x:v>
      </x:c>
      <x:c r="B225" t="str">
        <x:v>SOFTWARE</x:v>
      </x:c>
      <x:c r="C225" s="30" t="n">
        <x:v>0</x:v>
      </x:c>
      <x:c r="F225" t="str">
        <x:v>EXP00175</x:v>
      </x:c>
      <x:c r="G225" t="n">
        <x:v>45992</x:v>
      </x:c>
      <x:c r="H225" t="str">
        <x:v>K99-AG054321</x:v>
      </x:c>
      <x:c r="I225" t="str">
        <x:v>LAB_SAFETY</x:v>
      </x:c>
      <x:c r="J225" s="30" t="n">
        <x:v>281.89</x:v>
      </x:c>
    </x:row>
    <x:row r="226">
      <x:c r="A226" t="n">
        <x:v>46054</x:v>
      </x:c>
      <x:c r="B226" t="str">
        <x:v>SOFTWARE</x:v>
      </x:c>
      <x:c r="C226" s="30" t="n">
        <x:v>0</x:v>
      </x:c>
      <x:c r="F226" t="str">
        <x:v>EXP00176</x:v>
      </x:c>
      <x:c r="G226" t="n">
        <x:v>46023</x:v>
      </x:c>
      <x:c r="H226" t="str">
        <x:v>PCORI-12345</x:v>
      </x:c>
      <x:c r="I226" t="str">
        <x:v>LAB_SAFETY</x:v>
      </x:c>
      <x:c r="J226" s="30" t="n">
        <x:v>179.7</x:v>
      </x:c>
    </x:row>
    <x:row r="227">
      <x:c r="A227" t="n">
        <x:v>46082</x:v>
      </x:c>
      <x:c r="B227" t="str">
        <x:v>SOFTWARE</x:v>
      </x:c>
      <x:c r="C227" s="30" t="n">
        <x:v>0</x:v>
      </x:c>
      <x:c r="F227" t="str">
        <x:v>EXP00177</x:v>
      </x:c>
      <x:c r="G227" t="n">
        <x:v>46023</x:v>
      </x:c>
      <x:c r="H227" t="str">
        <x:v>K99-AG054321</x:v>
      </x:c>
      <x:c r="I227" t="str">
        <x:v>LAB_SAFETY</x:v>
      </x:c>
      <x:c r="J227" s="30" t="n">
        <x:v>213.22</x:v>
      </x:c>
    </x:row>
    <x:row r="228">
      <x:c r="A228" t="n">
        <x:v>46113</x:v>
      </x:c>
      <x:c r="B228" t="str">
        <x:v>SOFTWARE</x:v>
      </x:c>
      <x:c r="C228" s="30" t="n">
        <x:v>0</x:v>
      </x:c>
      <x:c r="F228" t="str">
        <x:v>EXP00178</x:v>
      </x:c>
      <x:c r="G228" t="n">
        <x:v>46023</x:v>
      </x:c>
      <x:c r="H228" t="str">
        <x:v>R01-HL145821</x:v>
      </x:c>
      <x:c r="I228" t="str">
        <x:v>LAB_SAFETY</x:v>
      </x:c>
      <x:c r="J228" s="30" t="n">
        <x:v>120.98</x:v>
      </x:c>
    </x:row>
    <x:row r="229">
      <x:c r="A229" t="n">
        <x:v>46143</x:v>
      </x:c>
      <x:c r="B229" t="str">
        <x:v>SOFTWARE</x:v>
      </x:c>
      <x:c r="C229" s="30" t="n">
        <x:v>0</x:v>
      </x:c>
      <x:c r="F229" t="str">
        <x:v>EXP00179</x:v>
      </x:c>
      <x:c r="G229" t="n">
        <x:v>46023</x:v>
      </x:c>
      <x:c r="H229" t="str">
        <x:v>FDTN-CZ-891</x:v>
      </x:c>
      <x:c r="I229" t="str">
        <x:v>LAB_SAFETY</x:v>
      </x:c>
      <x:c r="J229" s="30" t="n">
        <x:v>144.21</x:v>
      </x:c>
    </x:row>
    <x:row r="230">
      <x:c r="A230" t="n">
        <x:v>46174</x:v>
      </x:c>
      <x:c r="B230" t="str">
        <x:v>SOFTWARE</x:v>
      </x:c>
      <x:c r="C230" s="30" t="n">
        <x:v>0</x:v>
      </x:c>
      <x:c r="F230" t="str">
        <x:v>EXP00180</x:v>
      </x:c>
      <x:c r="G230" t="n">
        <x:v>46054</x:v>
      </x:c>
      <x:c r="H230" t="str">
        <x:v>R01-HL145821</x:v>
      </x:c>
      <x:c r="I230" t="str">
        <x:v>LAB_SAFETY</x:v>
      </x:c>
      <x:c r="J230" s="30" t="n">
        <x:v>220.73</x:v>
      </x:c>
    </x:row>
    <x:row r="231">
      <x:c r="A231" t="n">
        <x:v>45839</x:v>
      </x:c>
      <x:c r="B231" t="str">
        <x:v>PRINTING</x:v>
      </x:c>
      <x:c r="C231" s="30" t="n">
        <x:v>233.33</x:v>
      </x:c>
      <x:c r="F231" t="str">
        <x:v>EXP00181</x:v>
      </x:c>
      <x:c r="G231" t="n">
        <x:v>46054</x:v>
      </x:c>
      <x:c r="H231" t="str">
        <x:v>PCORI-12345</x:v>
      </x:c>
      <x:c r="I231" t="str">
        <x:v>LAB_SAFETY</x:v>
      </x:c>
      <x:c r="J231" s="30" t="n">
        <x:v>88.16</x:v>
      </x:c>
    </x:row>
    <x:row r="232">
      <x:c r="A232" t="n">
        <x:v>45870</x:v>
      </x:c>
      <x:c r="B232" t="str">
        <x:v>PRINTING</x:v>
      </x:c>
      <x:c r="C232" s="30" t="n">
        <x:v>233.33</x:v>
      </x:c>
      <x:c r="F232" t="str">
        <x:v>EXP00182</x:v>
      </x:c>
      <x:c r="G232" t="n">
        <x:v>46054</x:v>
      </x:c>
      <x:c r="H232" t="str">
        <x:v>DOD-W81XWH</x:v>
      </x:c>
      <x:c r="I232" t="str">
        <x:v>LAB_SAFETY</x:v>
      </x:c>
      <x:c r="J232" s="30" t="n">
        <x:v>126.03</x:v>
      </x:c>
    </x:row>
    <x:row r="233">
      <x:c r="A233" t="n">
        <x:v>45901</x:v>
      </x:c>
      <x:c r="B233" t="str">
        <x:v>PRINTING</x:v>
      </x:c>
      <x:c r="C233" s="30" t="n">
        <x:v>233.33</x:v>
      </x:c>
      <x:c r="F233" t="str">
        <x:v>EXP00183</x:v>
      </x:c>
      <x:c r="G233" t="n">
        <x:v>46054</x:v>
      </x:c>
      <x:c r="H233" t="str">
        <x:v>R01-CA198765</x:v>
      </x:c>
      <x:c r="I233" t="str">
        <x:v>LAB_SAFETY</x:v>
      </x:c>
      <x:c r="J233" s="30" t="n">
        <x:v>284.9</x:v>
      </x:c>
    </x:row>
    <x:row r="234">
      <x:c r="A234" t="n">
        <x:v>45931</x:v>
      </x:c>
      <x:c r="B234" t="str">
        <x:v>PRINTING</x:v>
      </x:c>
      <x:c r="C234" s="30" t="n">
        <x:v>233.33</x:v>
      </x:c>
      <x:c r="F234" t="str">
        <x:v>EXP00184</x:v>
      </x:c>
      <x:c r="G234" t="n">
        <x:v>46082</x:v>
      </x:c>
      <x:c r="H234" t="str">
        <x:v>K99-AG054321</x:v>
      </x:c>
      <x:c r="I234" t="str">
        <x:v>LAB_SAFETY</x:v>
      </x:c>
      <x:c r="J234" s="30" t="n">
        <x:v>587.72</x:v>
      </x:c>
    </x:row>
    <x:row r="235">
      <x:c r="A235" t="n">
        <x:v>45962</x:v>
      </x:c>
      <x:c r="B235" t="str">
        <x:v>PRINTING</x:v>
      </x:c>
      <x:c r="C235" s="30" t="n">
        <x:v>233.33</x:v>
      </x:c>
      <x:c r="F235" t="str">
        <x:v>EXP00185</x:v>
      </x:c>
      <x:c r="G235" t="n">
        <x:v>46082</x:v>
      </x:c>
      <x:c r="H235" t="str">
        <x:v>PCORI-12345</x:v>
      </x:c>
      <x:c r="I235" t="str">
        <x:v>LAB_SAFETY</x:v>
      </x:c>
      <x:c r="J235" s="30" t="n">
        <x:v>101.47</x:v>
      </x:c>
    </x:row>
    <x:row r="236">
      <x:c r="A236" t="n">
        <x:v>45992</x:v>
      </x:c>
      <x:c r="B236" t="str">
        <x:v>PRINTING</x:v>
      </x:c>
      <x:c r="C236" s="30" t="n">
        <x:v>233.33</x:v>
      </x:c>
      <x:c r="F236" t="str">
        <x:v>EXP00186</x:v>
      </x:c>
      <x:c r="G236" t="n">
        <x:v>46113</x:v>
      </x:c>
      <x:c r="H236" t="str">
        <x:v>R01-CA198765</x:v>
      </x:c>
      <x:c r="I236" t="str">
        <x:v>LAB_SAFETY</x:v>
      </x:c>
      <x:c r="J236" s="30" t="n">
        <x:v>17.27</x:v>
      </x:c>
    </x:row>
    <x:row r="237">
      <x:c r="A237" t="n">
        <x:v>46023</x:v>
      </x:c>
      <x:c r="B237" t="str">
        <x:v>PRINTING</x:v>
      </x:c>
      <x:c r="C237" s="30" t="n">
        <x:v>233.33</x:v>
      </x:c>
      <x:c r="F237" t="str">
        <x:v>EXP00187</x:v>
      </x:c>
      <x:c r="G237" t="n">
        <x:v>46113</x:v>
      </x:c>
      <x:c r="H237" t="str">
        <x:v>FDTN-CZ-891</x:v>
      </x:c>
      <x:c r="I237" t="str">
        <x:v>LAB_SAFETY</x:v>
      </x:c>
      <x:c r="J237" s="30" t="n">
        <x:v>378.82</x:v>
      </x:c>
    </x:row>
    <x:row r="238">
      <x:c r="A238" t="n">
        <x:v>46054</x:v>
      </x:c>
      <x:c r="B238" t="str">
        <x:v>PRINTING</x:v>
      </x:c>
      <x:c r="C238" s="30" t="n">
        <x:v>233.33</x:v>
      </x:c>
      <x:c r="F238" t="str">
        <x:v>EXP00188</x:v>
      </x:c>
      <x:c r="G238" t="n">
        <x:v>46113</x:v>
      </x:c>
      <x:c r="H238" t="str">
        <x:v>DOD-W81XWH</x:v>
      </x:c>
      <x:c r="I238" t="str">
        <x:v>LAB_SAFETY</x:v>
      </x:c>
      <x:c r="J238" s="30" t="n">
        <x:v>280.67</x:v>
      </x:c>
    </x:row>
    <x:row r="239">
      <x:c r="A239" t="n">
        <x:v>46082</x:v>
      </x:c>
      <x:c r="B239" t="str">
        <x:v>PRINTING</x:v>
      </x:c>
      <x:c r="C239" s="30" t="n">
        <x:v>233.33</x:v>
      </x:c>
      <x:c r="F239" t="str">
        <x:v>EXP00189</x:v>
      </x:c>
      <x:c r="G239" t="n">
        <x:v>46143</x:v>
      </x:c>
      <x:c r="H239" t="str">
        <x:v>K99-AG054321</x:v>
      </x:c>
      <x:c r="I239" t="str">
        <x:v>LAB_SAFETY</x:v>
      </x:c>
      <x:c r="J239" s="30" t="n">
        <x:v>600.34</x:v>
      </x:c>
    </x:row>
    <x:row r="240">
      <x:c r="A240" t="n">
        <x:v>46113</x:v>
      </x:c>
      <x:c r="B240" t="str">
        <x:v>PRINTING</x:v>
      </x:c>
      <x:c r="C240" s="30" t="n">
        <x:v>233.33</x:v>
      </x:c>
      <x:c r="F240" t="str">
        <x:v>EXP00190</x:v>
      </x:c>
      <x:c r="G240" t="n">
        <x:v>46143</x:v>
      </x:c>
      <x:c r="H240" t="str">
        <x:v>PCORI-12345</x:v>
      </x:c>
      <x:c r="I240" t="str">
        <x:v>LAB_SAFETY</x:v>
      </x:c>
      <x:c r="J240" s="30" t="n">
        <x:v>138.88</x:v>
      </x:c>
    </x:row>
    <x:row r="241">
      <x:c r="A241" t="n">
        <x:v>46143</x:v>
      </x:c>
      <x:c r="B241" t="str">
        <x:v>PRINTING</x:v>
      </x:c>
      <x:c r="C241" s="30" t="n">
        <x:v>233.33</x:v>
      </x:c>
      <x:c r="F241" t="str">
        <x:v>EXP00191</x:v>
      </x:c>
      <x:c r="G241" t="n">
        <x:v>46174</x:v>
      </x:c>
      <x:c r="H241" t="str">
        <x:v>R01-CA198765</x:v>
      </x:c>
      <x:c r="I241" t="str">
        <x:v>LAB_SAFETY</x:v>
      </x:c>
      <x:c r="J241" s="30" t="n">
        <x:v>373.74</x:v>
      </x:c>
    </x:row>
    <x:row r="242">
      <x:c r="A242" t="n">
        <x:v>46174</x:v>
      </x:c>
      <x:c r="B242" t="str">
        <x:v>PRINTING</x:v>
      </x:c>
      <x:c r="C242" s="30" t="n">
        <x:v>233.33</x:v>
      </x:c>
      <x:c r="F242" t="str">
        <x:v>EXP00192</x:v>
      </x:c>
      <x:c r="G242" t="n">
        <x:v>46174</x:v>
      </x:c>
      <x:c r="H242" t="str">
        <x:v>NSF-2234567</x:v>
      </x:c>
      <x:c r="I242" t="str">
        <x:v>LAB_SAFETY</x:v>
      </x:c>
      <x:c r="J242" s="30" t="n">
        <x:v>188.29</x:v>
      </x:c>
    </x:row>
    <x:row r="243">
      <x:c r="A243" t="n">
        <x:v>45839</x:v>
      </x:c>
      <x:c r="B243" t="str">
        <x:v>PERSONNEL</x:v>
      </x:c>
      <x:c r="C243" s="30" t="n">
        <x:v>102758.64</x:v>
      </x:c>
      <x:c r="F243" t="str">
        <x:v>EXP00193</x:v>
      </x:c>
      <x:c r="G243" t="n">
        <x:v>46174</x:v>
      </x:c>
      <x:c r="H243" t="str">
        <x:v>K99-AG054321</x:v>
      </x:c>
      <x:c r="I243" t="str">
        <x:v>LAB_SAFETY</x:v>
      </x:c>
      <x:c r="J243" s="30" t="n">
        <x:v>134.54</x:v>
      </x:c>
    </x:row>
    <x:row r="244">
      <x:c r="A244" t="n">
        <x:v>45870</x:v>
      </x:c>
      <x:c r="B244" t="str">
        <x:v>PERSONNEL</x:v>
      </x:c>
      <x:c r="C244" s="30" t="n">
        <x:v>102758.64</x:v>
      </x:c>
      <x:c r="F244" t="str">
        <x:v>EXP00194</x:v>
      </x:c>
      <x:c r="G244" t="n">
        <x:v>45839</x:v>
      </x:c>
      <x:c r="H244" t="str">
        <x:v>NSF-2234567</x:v>
      </x:c>
      <x:c r="I244" t="str">
        <x:v>SUBCONTRACTS</x:v>
      </x:c>
      <x:c r="J244" s="30" t="n">
        <x:v>330.25</x:v>
      </x:c>
    </x:row>
    <x:row r="245">
      <x:c r="A245" t="n">
        <x:v>45901</x:v>
      </x:c>
      <x:c r="B245" t="str">
        <x:v>PERSONNEL</x:v>
      </x:c>
      <x:c r="C245" s="30" t="n">
        <x:v>102758.64</x:v>
      </x:c>
      <x:c r="F245" t="str">
        <x:v>EXP00195</x:v>
      </x:c>
      <x:c r="G245" t="n">
        <x:v>45839</x:v>
      </x:c>
      <x:c r="H245" t="str">
        <x:v>R01-CA198765</x:v>
      </x:c>
      <x:c r="I245" t="str">
        <x:v>SUBCONTRACTS</x:v>
      </x:c>
      <x:c r="J245" s="30" t="n">
        <x:v>1163.51</x:v>
      </x:c>
    </x:row>
    <x:row r="246">
      <x:c r="A246" t="n">
        <x:v>45931</x:v>
      </x:c>
      <x:c r="B246" t="str">
        <x:v>PERSONNEL</x:v>
      </x:c>
      <x:c r="C246" s="30" t="n">
        <x:v>102758.64</x:v>
      </x:c>
      <x:c r="F246" t="str">
        <x:v>EXP00196</x:v>
      </x:c>
      <x:c r="G246" t="n">
        <x:v>45839</x:v>
      </x:c>
      <x:c r="H246" t="str">
        <x:v>K99-AG054321</x:v>
      </x:c>
      <x:c r="I246" t="str">
        <x:v>SUBCONTRACTS</x:v>
      </x:c>
      <x:c r="J246" s="30" t="n">
        <x:v>1712.86</x:v>
      </x:c>
    </x:row>
    <x:row r="247">
      <x:c r="A247" t="n">
        <x:v>45962</x:v>
      </x:c>
      <x:c r="B247" t="str">
        <x:v>PERSONNEL</x:v>
      </x:c>
      <x:c r="C247" s="30" t="n">
        <x:v>102758.64</x:v>
      </x:c>
      <x:c r="F247" t="str">
        <x:v>EXP00197</x:v>
      </x:c>
      <x:c r="G247" t="n">
        <x:v>45839</x:v>
      </x:c>
      <x:c r="H247" t="str">
        <x:v>PCORI-12345</x:v>
      </x:c>
      <x:c r="I247" t="str">
        <x:v>SUBCONTRACTS</x:v>
      </x:c>
      <x:c r="J247" s="30" t="n">
        <x:v>2464.78</x:v>
      </x:c>
    </x:row>
    <x:row r="248">
      <x:c r="A248" t="n">
        <x:v>45992</x:v>
      </x:c>
      <x:c r="B248" t="str">
        <x:v>PERSONNEL</x:v>
      </x:c>
      <x:c r="C248" s="30" t="n">
        <x:v>102758.64</x:v>
      </x:c>
      <x:c r="F248" t="str">
        <x:v>EXP00198</x:v>
      </x:c>
      <x:c r="G248" t="n">
        <x:v>45870</x:v>
      </x:c>
      <x:c r="H248" t="str">
        <x:v>PCORI-12345</x:v>
      </x:c>
      <x:c r="I248" t="str">
        <x:v>SUBCONTRACTS</x:v>
      </x:c>
      <x:c r="J248" s="30" t="n">
        <x:v>331.42</x:v>
      </x:c>
    </x:row>
    <x:row r="249">
      <x:c r="A249" t="n">
        <x:v>46023</x:v>
      </x:c>
      <x:c r="B249" t="str">
        <x:v>PERSONNEL</x:v>
      </x:c>
      <x:c r="C249" s="30" t="n">
        <x:v>102758.64</x:v>
      </x:c>
      <x:c r="F249" t="str">
        <x:v>EXP00199</x:v>
      </x:c>
      <x:c r="G249" t="n">
        <x:v>45870</x:v>
      </x:c>
      <x:c r="H249" t="str">
        <x:v>R01-HL145821</x:v>
      </x:c>
      <x:c r="I249" t="str">
        <x:v>SUBCONTRACTS</x:v>
      </x:c>
      <x:c r="J249" s="30" t="n">
        <x:v>2575.07</x:v>
      </x:c>
    </x:row>
    <x:row r="250">
      <x:c r="A250" t="n">
        <x:v>46054</x:v>
      </x:c>
      <x:c r="B250" t="str">
        <x:v>PERSONNEL</x:v>
      </x:c>
      <x:c r="C250" s="30" t="n">
        <x:v>102758.64</x:v>
      </x:c>
      <x:c r="F250" t="str">
        <x:v>EXP00200</x:v>
      </x:c>
      <x:c r="G250" t="n">
        <x:v>45870</x:v>
      </x:c>
      <x:c r="H250" t="str">
        <x:v>FDTN-CZ-891</x:v>
      </x:c>
      <x:c r="I250" t="str">
        <x:v>SUBCONTRACTS</x:v>
      </x:c>
      <x:c r="J250" s="30" t="n">
        <x:v>2417.26</x:v>
      </x:c>
    </x:row>
    <x:row r="251">
      <x:c r="A251" t="n">
        <x:v>46082</x:v>
      </x:c>
      <x:c r="B251" t="str">
        <x:v>PERSONNEL</x:v>
      </x:c>
      <x:c r="C251" s="30" t="n">
        <x:v>102758.64</x:v>
      </x:c>
      <x:c r="F251" t="str">
        <x:v>EXP00201</x:v>
      </x:c>
      <x:c r="G251" t="n">
        <x:v>45901</x:v>
      </x:c>
      <x:c r="H251" t="str">
        <x:v>NSF-2234567</x:v>
      </x:c>
      <x:c r="I251" t="str">
        <x:v>SUBCONTRACTS</x:v>
      </x:c>
      <x:c r="J251" s="30" t="n">
        <x:v>296.69</x:v>
      </x:c>
    </x:row>
    <x:row r="252">
      <x:c r="A252" t="n">
        <x:v>46113</x:v>
      </x:c>
      <x:c r="B252" t="str">
        <x:v>PERSONNEL</x:v>
      </x:c>
      <x:c r="C252" s="30" t="n">
        <x:v>102758.64</x:v>
      </x:c>
      <x:c r="F252" t="str">
        <x:v>EXP00202</x:v>
      </x:c>
      <x:c r="G252" t="n">
        <x:v>45901</x:v>
      </x:c>
      <x:c r="H252" t="str">
        <x:v>PCORI-12345</x:v>
      </x:c>
      <x:c r="I252" t="str">
        <x:v>SUBCONTRACTS</x:v>
      </x:c>
      <x:c r="J252" s="30" t="n">
        <x:v>1602.13</x:v>
      </x:c>
    </x:row>
    <x:row r="253">
      <x:c r="A253" t="n">
        <x:v>46143</x:v>
      </x:c>
      <x:c r="B253" t="str">
        <x:v>PERSONNEL</x:v>
      </x:c>
      <x:c r="C253" s="30" t="n">
        <x:v>102758.64</x:v>
      </x:c>
      <x:c r="F253" t="str">
        <x:v>EXP00203</x:v>
      </x:c>
      <x:c r="G253" t="n">
        <x:v>45901</x:v>
      </x:c>
      <x:c r="H253" t="str">
        <x:v>R01-HL145821</x:v>
      </x:c>
      <x:c r="I253" t="str">
        <x:v>SUBCONTRACTS</x:v>
      </x:c>
      <x:c r="J253" s="30" t="n">
        <x:v>1994.54</x:v>
      </x:c>
    </x:row>
    <x:row r="254">
      <x:c r="A254" t="n">
        <x:v>46174</x:v>
      </x:c>
      <x:c r="B254" t="str">
        <x:v>PERSONNEL</x:v>
      </x:c>
      <x:c r="C254" s="30" t="n">
        <x:v>102758.64</x:v>
      </x:c>
      <x:c r="F254" t="str">
        <x:v>EXP00204</x:v>
      </x:c>
      <x:c r="G254" t="n">
        <x:v>45901</x:v>
      </x:c>
      <x:c r="H254" t="str">
        <x:v>FDTN-CZ-891</x:v>
      </x:c>
      <x:c r="I254" t="str">
        <x:v>SUBCONTRACTS</x:v>
      </x:c>
      <x:c r="J254" s="30" t="n">
        <x:v>1361.77</x:v>
      </x:c>
    </x:row>
    <x:row r="255">
      <x:c r="A255" t="n">
        <x:v>45839</x:v>
      </x:c>
      <x:c r="B255" t="str">
        <x:v>FNA</x:v>
      </x:c>
      <x:c r="C255" s="30" t="n">
        <x:v>39092</x:v>
      </x:c>
      <x:c r="F255" t="str">
        <x:v>EXP00205</x:v>
      </x:c>
      <x:c r="G255" t="n">
        <x:v>45931</x:v>
      </x:c>
      <x:c r="H255" t="str">
        <x:v>NSF-2234567</x:v>
      </x:c>
      <x:c r="I255" t="str">
        <x:v>SUBCONTRACTS</x:v>
      </x:c>
      <x:c r="J255" s="30" t="n">
        <x:v>1255.7</x:v>
      </x:c>
    </x:row>
    <x:row r="256">
      <x:c r="A256" t="n">
        <x:v>45839</x:v>
      </x:c>
      <x:c r="B256" t="str">
        <x:v>CONTINGENCY</x:v>
      </x:c>
      <x:c r="C256" s="30" t="n">
        <x:v>4425.51</x:v>
      </x:c>
      <x:c r="F256" t="str">
        <x:v>EXP00206</x:v>
      </x:c>
      <x:c r="G256" t="n">
        <x:v>45931</x:v>
      </x:c>
      <x:c r="H256" t="str">
        <x:v>PCORI-12345</x:v>
      </x:c>
      <x:c r="I256" t="str">
        <x:v>SUBCONTRACTS</x:v>
      </x:c>
      <x:c r="J256" s="30" t="n">
        <x:v>1375.25</x:v>
      </x:c>
    </x:row>
    <x:row r="257">
      <x:c r="A257" t="n">
        <x:v>45870</x:v>
      </x:c>
      <x:c r="B257" t="str">
        <x:v>FNA</x:v>
      </x:c>
      <x:c r="C257" s="30" t="n">
        <x:v>39092</x:v>
      </x:c>
      <x:c r="F257" t="str">
        <x:v>EXP00207</x:v>
      </x:c>
      <x:c r="G257" t="n">
        <x:v>45931</x:v>
      </x:c>
      <x:c r="H257" t="str">
        <x:v>FDTN-CZ-891</x:v>
      </x:c>
      <x:c r="I257" t="str">
        <x:v>SUBCONTRACTS</x:v>
      </x:c>
      <x:c r="J257" s="30" t="n">
        <x:v>1326.79</x:v>
      </x:c>
    </x:row>
    <x:row r="258">
      <x:c r="A258" t="n">
        <x:v>45870</x:v>
      </x:c>
      <x:c r="B258" t="str">
        <x:v>CONTINGENCY</x:v>
      </x:c>
      <x:c r="C258" s="30" t="n">
        <x:v>4425.51</x:v>
      </x:c>
      <x:c r="F258" t="str">
        <x:v>EXP00208</x:v>
      </x:c>
      <x:c r="G258" t="n">
        <x:v>45931</x:v>
      </x:c>
      <x:c r="H258" t="str">
        <x:v>R01-CA198765</x:v>
      </x:c>
      <x:c r="I258" t="str">
        <x:v>SUBCONTRACTS</x:v>
      </x:c>
      <x:c r="J258" s="30" t="n">
        <x:v>1546.25</x:v>
      </x:c>
    </x:row>
    <x:row r="259">
      <x:c r="A259" t="n">
        <x:v>45901</x:v>
      </x:c>
      <x:c r="B259" t="str">
        <x:v>FNA</x:v>
      </x:c>
      <x:c r="C259" s="30" t="n">
        <x:v>39092</x:v>
      </x:c>
      <x:c r="F259" t="str">
        <x:v>EXP00209</x:v>
      </x:c>
      <x:c r="G259" t="n">
        <x:v>45962</x:v>
      </x:c>
      <x:c r="H259" t="str">
        <x:v>PCORI-12345</x:v>
      </x:c>
      <x:c r="I259" t="str">
        <x:v>SUBCONTRACTS</x:v>
      </x:c>
      <x:c r="J259" s="30" t="n">
        <x:v>1605.69</x:v>
      </x:c>
    </x:row>
    <x:row r="260">
      <x:c r="A260" t="n">
        <x:v>45901</x:v>
      </x:c>
      <x:c r="B260" t="str">
        <x:v>CONTINGENCY</x:v>
      </x:c>
      <x:c r="C260" s="30" t="n">
        <x:v>4425.51</x:v>
      </x:c>
      <x:c r="F260" t="str">
        <x:v>EXP00210</x:v>
      </x:c>
      <x:c r="G260" t="n">
        <x:v>45962</x:v>
      </x:c>
      <x:c r="H260" t="str">
        <x:v>NSF-2234567</x:v>
      </x:c>
      <x:c r="I260" t="str">
        <x:v>SUBCONTRACTS</x:v>
      </x:c>
      <x:c r="J260" s="30" t="n">
        <x:v>870.35</x:v>
      </x:c>
    </x:row>
    <x:row r="261">
      <x:c r="A261" t="n">
        <x:v>45931</x:v>
      </x:c>
      <x:c r="B261" t="str">
        <x:v>FNA</x:v>
      </x:c>
      <x:c r="C261" s="30" t="n">
        <x:v>39092</x:v>
      </x:c>
      <x:c r="F261" t="str">
        <x:v>EXP00211</x:v>
      </x:c>
      <x:c r="G261" t="n">
        <x:v>45962</x:v>
      </x:c>
      <x:c r="H261" t="str">
        <x:v>FDTN-CZ-891</x:v>
      </x:c>
      <x:c r="I261" t="str">
        <x:v>SUBCONTRACTS</x:v>
      </x:c>
      <x:c r="J261" s="30" t="n">
        <x:v>1218.69</x:v>
      </x:c>
    </x:row>
    <x:row r="262">
      <x:c r="A262" t="n">
        <x:v>45931</x:v>
      </x:c>
      <x:c r="B262" t="str">
        <x:v>CONTINGENCY</x:v>
      </x:c>
      <x:c r="C262" s="30" t="n">
        <x:v>4425.51</x:v>
      </x:c>
      <x:c r="F262" t="str">
        <x:v>EXP00212</x:v>
      </x:c>
      <x:c r="G262" t="n">
        <x:v>45962</x:v>
      </x:c>
      <x:c r="H262" t="str">
        <x:v>R01-CA198765</x:v>
      </x:c>
      <x:c r="I262" t="str">
        <x:v>SUBCONTRACTS</x:v>
      </x:c>
      <x:c r="J262" s="30" t="n">
        <x:v>1388.47</x:v>
      </x:c>
    </x:row>
    <x:row r="263">
      <x:c r="A263" t="n">
        <x:v>45962</x:v>
      </x:c>
      <x:c r="B263" t="str">
        <x:v>FNA</x:v>
      </x:c>
      <x:c r="C263" s="30" t="n">
        <x:v>39092</x:v>
      </x:c>
      <x:c r="F263" t="str">
        <x:v>EXP00213</x:v>
      </x:c>
      <x:c r="G263" t="n">
        <x:v>45992</x:v>
      </x:c>
      <x:c r="H263" t="str">
        <x:v>R01-HL145821</x:v>
      </x:c>
      <x:c r="I263" t="str">
        <x:v>SUBCONTRACTS</x:v>
      </x:c>
      <x:c r="J263" s="30" t="n">
        <x:v>4394.35</x:v>
      </x:c>
    </x:row>
    <x:row r="264">
      <x:c r="A264" t="n">
        <x:v>45962</x:v>
      </x:c>
      <x:c r="B264" t="str">
        <x:v>CONTINGENCY</x:v>
      </x:c>
      <x:c r="C264" s="30" t="n">
        <x:v>4425.51</x:v>
      </x:c>
      <x:c r="F264" t="str">
        <x:v>EXP00214</x:v>
      </x:c>
      <x:c r="G264" t="n">
        <x:v>45992</x:v>
      </x:c>
      <x:c r="H264" t="str">
        <x:v>FDTN-CZ-891</x:v>
      </x:c>
      <x:c r="I264" t="str">
        <x:v>SUBCONTRACTS</x:v>
      </x:c>
      <x:c r="J264" s="30" t="n">
        <x:v>984.63</x:v>
      </x:c>
    </x:row>
    <x:row r="265">
      <x:c r="A265" t="n">
        <x:v>45992</x:v>
      </x:c>
      <x:c r="B265" t="str">
        <x:v>FNA</x:v>
      </x:c>
      <x:c r="C265" s="30" t="n">
        <x:v>39092</x:v>
      </x:c>
      <x:c r="F265" t="str">
        <x:v>EXP00215</x:v>
      </x:c>
      <x:c r="G265" t="n">
        <x:v>46023</x:v>
      </x:c>
      <x:c r="H265" t="str">
        <x:v>NSF-2234567</x:v>
      </x:c>
      <x:c r="I265" t="str">
        <x:v>SUBCONTRACTS</x:v>
      </x:c>
      <x:c r="J265" s="30" t="n">
        <x:v>3646.65</x:v>
      </x:c>
    </x:row>
    <x:row r="266">
      <x:c r="A266" t="n">
        <x:v>45992</x:v>
      </x:c>
      <x:c r="B266" t="str">
        <x:v>CONTINGENCY</x:v>
      </x:c>
      <x:c r="C266" s="30" t="n">
        <x:v>4425.51</x:v>
      </x:c>
      <x:c r="F266" t="str">
        <x:v>EXP00216</x:v>
      </x:c>
      <x:c r="G266" t="n">
        <x:v>46023</x:v>
      </x:c>
      <x:c r="H266" t="str">
        <x:v>R01-CA198765</x:v>
      </x:c>
      <x:c r="I266" t="str">
        <x:v>SUBCONTRACTS</x:v>
      </x:c>
      <x:c r="J266" s="30" t="n">
        <x:v>2015.13</x:v>
      </x:c>
    </x:row>
    <x:row r="267">
      <x:c r="A267" t="n">
        <x:v>46023</x:v>
      </x:c>
      <x:c r="B267" t="str">
        <x:v>FNA</x:v>
      </x:c>
      <x:c r="C267" s="30" t="n">
        <x:v>39092</x:v>
      </x:c>
      <x:c r="F267" t="str">
        <x:v>EXP00217</x:v>
      </x:c>
      <x:c r="G267" t="n">
        <x:v>46054</x:v>
      </x:c>
      <x:c r="H267" t="str">
        <x:v>K99-AG054321</x:v>
      </x:c>
      <x:c r="I267" t="str">
        <x:v>SUBCONTRACTS</x:v>
      </x:c>
      <x:c r="J267" s="30" t="n">
        <x:v>4283.97</x:v>
      </x:c>
    </x:row>
    <x:row r="268">
      <x:c r="A268" t="n">
        <x:v>46023</x:v>
      </x:c>
      <x:c r="B268" t="str">
        <x:v>CONTINGENCY</x:v>
      </x:c>
      <x:c r="C268" s="30" t="n">
        <x:v>4425.51</x:v>
      </x:c>
      <x:c r="F268" t="str">
        <x:v>EXP00218</x:v>
      </x:c>
      <x:c r="G268" t="n">
        <x:v>46054</x:v>
      </x:c>
      <x:c r="H268" t="str">
        <x:v>DOD-W81XWH</x:v>
      </x:c>
      <x:c r="I268" t="str">
        <x:v>SUBCONTRACTS</x:v>
      </x:c>
      <x:c r="J268" s="30" t="n">
        <x:v>1126.87</x:v>
      </x:c>
    </x:row>
    <x:row r="269">
      <x:c r="A269" t="n">
        <x:v>46054</x:v>
      </x:c>
      <x:c r="B269" t="str">
        <x:v>FNA</x:v>
      </x:c>
      <x:c r="C269" s="30" t="n">
        <x:v>39092</x:v>
      </x:c>
      <x:c r="F269" t="str">
        <x:v>EXP00219</x:v>
      </x:c>
      <x:c r="G269" t="n">
        <x:v>46082</x:v>
      </x:c>
      <x:c r="H269" t="str">
        <x:v>K99-AG054321</x:v>
      </x:c>
      <x:c r="I269" t="str">
        <x:v>SUBCONTRACTS</x:v>
      </x:c>
      <x:c r="J269" s="30" t="n">
        <x:v>1828.61</x:v>
      </x:c>
    </x:row>
    <x:row r="270">
      <x:c r="A270" t="n">
        <x:v>46054</x:v>
      </x:c>
      <x:c r="B270" t="str">
        <x:v>CONTINGENCY</x:v>
      </x:c>
      <x:c r="C270" s="30" t="n">
        <x:v>4425.51</x:v>
      </x:c>
      <x:c r="F270" t="str">
        <x:v>EXP00220</x:v>
      </x:c>
      <x:c r="G270" t="n">
        <x:v>46082</x:v>
      </x:c>
      <x:c r="H270" t="str">
        <x:v>R01-HL145821</x:v>
      </x:c>
      <x:c r="I270" t="str">
        <x:v>SUBCONTRACTS</x:v>
      </x:c>
      <x:c r="J270" s="30" t="n">
        <x:v>1360.24</x:v>
      </x:c>
    </x:row>
    <x:row r="271">
      <x:c r="A271" t="n">
        <x:v>46082</x:v>
      </x:c>
      <x:c r="B271" t="str">
        <x:v>FNA</x:v>
      </x:c>
      <x:c r="C271" s="30" t="n">
        <x:v>39092</x:v>
      </x:c>
      <x:c r="F271" t="str">
        <x:v>EXP00221</x:v>
      </x:c>
      <x:c r="G271" t="n">
        <x:v>46082</x:v>
      </x:c>
      <x:c r="H271" t="str">
        <x:v>DOD-W81XWH</x:v>
      </x:c>
      <x:c r="I271" t="str">
        <x:v>SUBCONTRACTS</x:v>
      </x:c>
      <x:c r="J271" s="30" t="n">
        <x:v>2105.33</x:v>
      </x:c>
    </x:row>
    <x:row r="272">
      <x:c r="A272" t="n">
        <x:v>46082</x:v>
      </x:c>
      <x:c r="B272" t="str">
        <x:v>CONTINGENCY</x:v>
      </x:c>
      <x:c r="C272" s="30" t="n">
        <x:v>4425.51</x:v>
      </x:c>
      <x:c r="F272" t="str">
        <x:v>EXP00222</x:v>
      </x:c>
      <x:c r="G272" t="n">
        <x:v>46113</x:v>
      </x:c>
      <x:c r="H272" t="str">
        <x:v>NSF-2234567</x:v>
      </x:c>
      <x:c r="I272" t="str">
        <x:v>SUBCONTRACTS</x:v>
      </x:c>
      <x:c r="J272" s="30" t="n">
        <x:v>3502.02</x:v>
      </x:c>
    </x:row>
    <x:row r="273">
      <x:c r="A273" t="n">
        <x:v>46113</x:v>
      </x:c>
      <x:c r="B273" t="str">
        <x:v>FNA</x:v>
      </x:c>
      <x:c r="C273" s="30" t="n">
        <x:v>39092</x:v>
      </x:c>
      <x:c r="F273" t="str">
        <x:v>EXP00223</x:v>
      </x:c>
      <x:c r="G273" t="n">
        <x:v>46113</x:v>
      </x:c>
      <x:c r="H273" t="str">
        <x:v>FDTN-CZ-891</x:v>
      </x:c>
      <x:c r="I273" t="str">
        <x:v>SUBCONTRACTS</x:v>
      </x:c>
      <x:c r="J273" s="30" t="n">
        <x:v>2102.85</x:v>
      </x:c>
    </x:row>
    <x:row r="274">
      <x:c r="A274" t="n">
        <x:v>46113</x:v>
      </x:c>
      <x:c r="B274" t="str">
        <x:v>CONTINGENCY</x:v>
      </x:c>
      <x:c r="C274" s="30" t="n">
        <x:v>4425.51</x:v>
      </x:c>
      <x:c r="F274" t="str">
        <x:v>EXP00224</x:v>
      </x:c>
      <x:c r="G274" t="n">
        <x:v>46143</x:v>
      </x:c>
      <x:c r="H274" t="str">
        <x:v>NSF-2234567</x:v>
      </x:c>
      <x:c r="I274" t="str">
        <x:v>SUBCONTRACTS</x:v>
      </x:c>
      <x:c r="J274" s="30" t="n">
        <x:v>1820.05</x:v>
      </x:c>
    </x:row>
    <x:row r="275">
      <x:c r="A275" t="n">
        <x:v>46143</x:v>
      </x:c>
      <x:c r="B275" t="str">
        <x:v>FNA</x:v>
      </x:c>
      <x:c r="C275" s="30" t="n">
        <x:v>39092</x:v>
      </x:c>
      <x:c r="F275" t="str">
        <x:v>EXP00225</x:v>
      </x:c>
      <x:c r="G275" t="n">
        <x:v>46143</x:v>
      </x:c>
      <x:c r="H275" t="str">
        <x:v>R01-HL145821</x:v>
      </x:c>
      <x:c r="I275" t="str">
        <x:v>SUBCONTRACTS</x:v>
      </x:c>
      <x:c r="J275" s="30" t="n">
        <x:v>3454.3</x:v>
      </x:c>
    </x:row>
    <x:row r="276">
      <x:c r="A276" t="n">
        <x:v>46143</x:v>
      </x:c>
      <x:c r="B276" t="str">
        <x:v>CONTINGENCY</x:v>
      </x:c>
      <x:c r="C276" s="30" t="n">
        <x:v>4425.51</x:v>
      </x:c>
      <x:c r="F276" t="str">
        <x:v>EXP00226</x:v>
      </x:c>
      <x:c r="G276" t="n">
        <x:v>46143</x:v>
      </x:c>
      <x:c r="H276" t="str">
        <x:v>FDTN-CZ-891</x:v>
      </x:c>
      <x:c r="I276" t="str">
        <x:v>SUBCONTRACTS</x:v>
      </x:c>
      <x:c r="J276" s="30" t="n">
        <x:v>289.2</x:v>
      </x:c>
    </x:row>
    <x:row r="277">
      <x:c r="A277" t="n">
        <x:v>46174</x:v>
      </x:c>
      <x:c r="B277" t="str">
        <x:v>FNA</x:v>
      </x:c>
      <x:c r="C277" s="30" t="n">
        <x:v>39092</x:v>
      </x:c>
      <x:c r="F277" t="str">
        <x:v>EXP00227</x:v>
      </x:c>
      <x:c r="G277" t="n">
        <x:v>46174</x:v>
      </x:c>
      <x:c r="H277" t="str">
        <x:v>R01-HL145821</x:v>
      </x:c>
      <x:c r="I277" t="str">
        <x:v>SUBCONTRACTS</x:v>
      </x:c>
      <x:c r="J277" s="30" t="n">
        <x:v>3127.09</x:v>
      </x:c>
    </x:row>
    <x:row r="278">
      <x:c r="A278" t="n">
        <x:v>46174</x:v>
      </x:c>
      <x:c r="B278" t="str">
        <x:v>CONTINGENCY</x:v>
      </x:c>
      <x:c r="C278" s="30" t="n">
        <x:v>4425.51</x:v>
      </x:c>
      <x:c r="F278" t="str">
        <x:v>EXP00228</x:v>
      </x:c>
      <x:c r="G278" t="n">
        <x:v>46174</x:v>
      </x:c>
      <x:c r="H278" t="str">
        <x:v>PCORI-12345</x:v>
      </x:c>
      <x:c r="I278" t="str">
        <x:v>SUBCONTRACTS</x:v>
      </x:c>
      <x:c r="J278" s="30" t="n">
        <x:v>2083.26</x:v>
      </x:c>
    </x:row>
    <x:row r="279">
      <x:c r="F279" t="str">
        <x:v>EXP00229</x:v>
      </x:c>
      <x:c r="G279" t="n">
        <x:v>45839</x:v>
      </x:c>
      <x:c r="H279" t="str">
        <x:v>NSF-2234567</x:v>
      </x:c>
      <x:c r="I279" t="str">
        <x:v>ANIMAL_CARE</x:v>
      </x:c>
      <x:c r="J279" s="30" t="n">
        <x:v>1802.45</x:v>
      </x:c>
    </x:row>
    <x:row r="280">
      <x:c r="F280" t="str">
        <x:v>EXP00230</x:v>
      </x:c>
      <x:c r="G280" t="n">
        <x:v>45839</x:v>
      </x:c>
      <x:c r="H280" t="str">
        <x:v>R01-HL145821</x:v>
      </x:c>
      <x:c r="I280" t="str">
        <x:v>ANIMAL_CARE</x:v>
      </x:c>
      <x:c r="J280" s="30" t="n">
        <x:v>2036.53</x:v>
      </x:c>
    </x:row>
    <x:row r="281">
      <x:c r="F281" t="str">
        <x:v>EXP00231</x:v>
      </x:c>
      <x:c r="G281" t="n">
        <x:v>45870</x:v>
      </x:c>
      <x:c r="H281" t="str">
        <x:v>R01-HL145821</x:v>
      </x:c>
      <x:c r="I281" t="str">
        <x:v>ANIMAL_CARE</x:v>
      </x:c>
      <x:c r="J281" s="30" t="n">
        <x:v>1233.92</x:v>
      </x:c>
    </x:row>
    <x:row r="282">
      <x:c r="F282" t="str">
        <x:v>EXP00232</x:v>
      </x:c>
      <x:c r="G282" t="n">
        <x:v>45870</x:v>
      </x:c>
      <x:c r="H282" t="str">
        <x:v>NSF-2234567</x:v>
      </x:c>
      <x:c r="I282" t="str">
        <x:v>ANIMAL_CARE</x:v>
      </x:c>
      <x:c r="J282" s="30" t="n">
        <x:v>1387.49</x:v>
      </x:c>
    </x:row>
    <x:row r="283">
      <x:c r="F283" t="str">
        <x:v>EXP00233</x:v>
      </x:c>
      <x:c r="G283" t="n">
        <x:v>45870</x:v>
      </x:c>
      <x:c r="H283" t="str">
        <x:v>FDTN-CZ-891</x:v>
      </x:c>
      <x:c r="I283" t="str">
        <x:v>ANIMAL_CARE</x:v>
      </x:c>
      <x:c r="J283" s="30" t="n">
        <x:v>1356.22</x:v>
      </x:c>
    </x:row>
    <x:row r="284">
      <x:c r="F284" t="str">
        <x:v>EXP00234</x:v>
      </x:c>
      <x:c r="G284" t="n">
        <x:v>45901</x:v>
      </x:c>
      <x:c r="H284" t="str">
        <x:v>R01-CA198765</x:v>
      </x:c>
      <x:c r="I284" t="str">
        <x:v>ANIMAL_CARE</x:v>
      </x:c>
      <x:c r="J284" s="30" t="n">
        <x:v>718.84</x:v>
      </x:c>
    </x:row>
    <x:row r="285">
      <x:c r="F285" t="str">
        <x:v>EXP00235</x:v>
      </x:c>
      <x:c r="G285" t="n">
        <x:v>45901</x:v>
      </x:c>
      <x:c r="H285" t="str">
        <x:v>NSF-2234567</x:v>
      </x:c>
      <x:c r="I285" t="str">
        <x:v>ANIMAL_CARE</x:v>
      </x:c>
      <x:c r="J285" s="30" t="n">
        <x:v>871.22</x:v>
      </x:c>
    </x:row>
    <x:row r="286">
      <x:c r="F286" t="str">
        <x:v>EXP00236</x:v>
      </x:c>
      <x:c r="G286" t="n">
        <x:v>45901</x:v>
      </x:c>
      <x:c r="H286" t="str">
        <x:v>DOD-W81XWH</x:v>
      </x:c>
      <x:c r="I286" t="str">
        <x:v>ANIMAL_CARE</x:v>
      </x:c>
      <x:c r="J286" s="30" t="n">
        <x:v>614.14</x:v>
      </x:c>
    </x:row>
    <x:row r="287">
      <x:c r="F287" t="str">
        <x:v>EXP00237</x:v>
      </x:c>
      <x:c r="G287" t="n">
        <x:v>45901</x:v>
      </x:c>
      <x:c r="H287" t="str">
        <x:v>PCORI-12345</x:v>
      </x:c>
      <x:c r="I287" t="str">
        <x:v>ANIMAL_CARE</x:v>
      </x:c>
      <x:c r="J287" s="30" t="n">
        <x:v>1480.59</x:v>
      </x:c>
    </x:row>
    <x:row r="288">
      <x:c r="F288" t="str">
        <x:v>EXP00238</x:v>
      </x:c>
      <x:c r="G288" t="n">
        <x:v>45931</x:v>
      </x:c>
      <x:c r="H288" t="str">
        <x:v>PCORI-12345</x:v>
      </x:c>
      <x:c r="I288" t="str">
        <x:v>ANIMAL_CARE</x:v>
      </x:c>
      <x:c r="J288" s="30" t="n">
        <x:v>1046.86</x:v>
      </x:c>
    </x:row>
    <x:row r="289">
      <x:c r="F289" t="str">
        <x:v>EXP00239</x:v>
      </x:c>
      <x:c r="G289" t="n">
        <x:v>45931</x:v>
      </x:c>
      <x:c r="H289" t="str">
        <x:v>R01-HL145821</x:v>
      </x:c>
      <x:c r="I289" t="str">
        <x:v>ANIMAL_CARE</x:v>
      </x:c>
      <x:c r="J289" s="30" t="n">
        <x:v>1213.02</x:v>
      </x:c>
    </x:row>
    <x:row r="290">
      <x:c r="F290" t="str">
        <x:v>EXP00240</x:v>
      </x:c>
      <x:c r="G290" t="n">
        <x:v>45931</x:v>
      </x:c>
      <x:c r="H290" t="str">
        <x:v>DOD-W81XWH</x:v>
      </x:c>
      <x:c r="I290" t="str">
        <x:v>ANIMAL_CARE</x:v>
      </x:c>
      <x:c r="J290" s="30" t="n">
        <x:v>1568.03</x:v>
      </x:c>
    </x:row>
    <x:row r="291">
      <x:c r="F291" t="str">
        <x:v>EXP00241</x:v>
      </x:c>
      <x:c r="G291" t="n">
        <x:v>45962</x:v>
      </x:c>
      <x:c r="H291" t="str">
        <x:v>R01-CA198765</x:v>
      </x:c>
      <x:c r="I291" t="str">
        <x:v>ANIMAL_CARE</x:v>
      </x:c>
      <x:c r="J291" s="30" t="n">
        <x:v>1961</x:v>
      </x:c>
    </x:row>
    <x:row r="292">
      <x:c r="F292" t="str">
        <x:v>EXP00242</x:v>
      </x:c>
      <x:c r="G292" t="n">
        <x:v>45962</x:v>
      </x:c>
      <x:c r="H292" t="str">
        <x:v>K99-AG054321</x:v>
      </x:c>
      <x:c r="I292" t="str">
        <x:v>ANIMAL_CARE</x:v>
      </x:c>
      <x:c r="J292" s="30" t="n">
        <x:v>1726.44</x:v>
      </x:c>
    </x:row>
    <x:row r="293">
      <x:c r="F293" t="str">
        <x:v>EXP00243</x:v>
      </x:c>
      <x:c r="G293" t="n">
        <x:v>45992</x:v>
      </x:c>
      <x:c r="H293" t="str">
        <x:v>PCORI-12345</x:v>
      </x:c>
      <x:c r="I293" t="str">
        <x:v>ANIMAL_CARE</x:v>
      </x:c>
      <x:c r="J293" s="30" t="n">
        <x:v>1086.16</x:v>
      </x:c>
    </x:row>
    <x:row r="294">
      <x:c r="F294" t="str">
        <x:v>EXP00244</x:v>
      </x:c>
      <x:c r="G294" t="n">
        <x:v>45992</x:v>
      </x:c>
      <x:c r="H294" t="str">
        <x:v>R01-HL145821</x:v>
      </x:c>
      <x:c r="I294" t="str">
        <x:v>ANIMAL_CARE</x:v>
      </x:c>
      <x:c r="J294" s="30" t="n">
        <x:v>1969.34</x:v>
      </x:c>
    </x:row>
    <x:row r="295">
      <x:c r="F295" t="str">
        <x:v>EXP00245</x:v>
      </x:c>
      <x:c r="G295" t="n">
        <x:v>45992</x:v>
      </x:c>
      <x:c r="H295" t="str">
        <x:v>FDTN-CZ-891</x:v>
      </x:c>
      <x:c r="I295" t="str">
        <x:v>ANIMAL_CARE</x:v>
      </x:c>
      <x:c r="J295" s="30" t="n">
        <x:v>425.81</x:v>
      </x:c>
    </x:row>
    <x:row r="296">
      <x:c r="F296" t="str">
        <x:v>EXP00246</x:v>
      </x:c>
      <x:c r="G296" t="n">
        <x:v>45992</x:v>
      </x:c>
      <x:c r="H296" t="str">
        <x:v>R01-CA198765</x:v>
      </x:c>
      <x:c r="I296" t="str">
        <x:v>ANIMAL_CARE</x:v>
      </x:c>
      <x:c r="J296" s="30" t="n">
        <x:v>506.09</x:v>
      </x:c>
    </x:row>
    <x:row r="297">
      <x:c r="F297" t="str">
        <x:v>EXP00247</x:v>
      </x:c>
      <x:c r="G297" t="n">
        <x:v>46023</x:v>
      </x:c>
      <x:c r="H297" t="str">
        <x:v>R01-HL145821</x:v>
      </x:c>
      <x:c r="I297" t="str">
        <x:v>ANIMAL_CARE</x:v>
      </x:c>
      <x:c r="J297" s="30" t="n">
        <x:v>192.88</x:v>
      </x:c>
    </x:row>
    <x:row r="298">
      <x:c r="F298" t="str">
        <x:v>EXP00248</x:v>
      </x:c>
      <x:c r="G298" t="n">
        <x:v>46023</x:v>
      </x:c>
      <x:c r="H298" t="str">
        <x:v>PCORI-12345</x:v>
      </x:c>
      <x:c r="I298" t="str">
        <x:v>ANIMAL_CARE</x:v>
      </x:c>
      <x:c r="J298" s="30" t="n">
        <x:v>767.25</x:v>
      </x:c>
    </x:row>
    <x:row r="299">
      <x:c r="F299" t="str">
        <x:v>EXP00249</x:v>
      </x:c>
      <x:c r="G299" t="n">
        <x:v>46023</x:v>
      </x:c>
      <x:c r="H299" t="str">
        <x:v>R01-CA198765</x:v>
      </x:c>
      <x:c r="I299" t="str">
        <x:v>ANIMAL_CARE</x:v>
      </x:c>
      <x:c r="J299" s="30" t="n">
        <x:v>2650.55</x:v>
      </x:c>
    </x:row>
    <x:row r="300">
      <x:c r="F300" t="str">
        <x:v>EXP00250</x:v>
      </x:c>
      <x:c r="G300" t="n">
        <x:v>46054</x:v>
      </x:c>
      <x:c r="H300" t="str">
        <x:v>NSF-2234567</x:v>
      </x:c>
      <x:c r="I300" t="str">
        <x:v>ANIMAL_CARE</x:v>
      </x:c>
      <x:c r="J300" s="30" t="n">
        <x:v>2863.07</x:v>
      </x:c>
    </x:row>
    <x:row r="301">
      <x:c r="F301" t="str">
        <x:v>EXP00251</x:v>
      </x:c>
      <x:c r="G301" t="n">
        <x:v>46054</x:v>
      </x:c>
      <x:c r="H301" t="str">
        <x:v>FDTN-CZ-891</x:v>
      </x:c>
      <x:c r="I301" t="str">
        <x:v>ANIMAL_CARE</x:v>
      </x:c>
      <x:c r="J301" s="30" t="n">
        <x:v>1089.63</x:v>
      </x:c>
    </x:row>
    <x:row r="302">
      <x:c r="F302" t="str">
        <x:v>EXP00252</x:v>
      </x:c>
      <x:c r="G302" t="n">
        <x:v>46082</x:v>
      </x:c>
      <x:c r="H302" t="str">
        <x:v>R01-CA198765</x:v>
      </x:c>
      <x:c r="I302" t="str">
        <x:v>ANIMAL_CARE</x:v>
      </x:c>
      <x:c r="J302" s="30" t="n">
        <x:v>1562.27</x:v>
      </x:c>
    </x:row>
    <x:row r="303">
      <x:c r="F303" t="str">
        <x:v>EXP00253</x:v>
      </x:c>
      <x:c r="G303" t="n">
        <x:v>46082</x:v>
      </x:c>
      <x:c r="H303" t="str">
        <x:v>FDTN-CZ-891</x:v>
      </x:c>
      <x:c r="I303" t="str">
        <x:v>ANIMAL_CARE</x:v>
      </x:c>
      <x:c r="J303" s="30" t="n">
        <x:v>2040.79</x:v>
      </x:c>
    </x:row>
    <x:row r="304">
      <x:c r="F304" t="str">
        <x:v>EXP00254</x:v>
      </x:c>
      <x:c r="G304" t="n">
        <x:v>46113</x:v>
      </x:c>
      <x:c r="H304" t="str">
        <x:v>NSF-2234567</x:v>
      </x:c>
      <x:c r="I304" t="str">
        <x:v>ANIMAL_CARE</x:v>
      </x:c>
      <x:c r="J304" s="30" t="n">
        <x:v>752.65</x:v>
      </x:c>
    </x:row>
    <x:row r="305">
      <x:c r="F305" t="str">
        <x:v>EXP00255</x:v>
      </x:c>
      <x:c r="G305" t="n">
        <x:v>46113</x:v>
      </x:c>
      <x:c r="H305" t="str">
        <x:v>K99-AG054321</x:v>
      </x:c>
      <x:c r="I305" t="str">
        <x:v>ANIMAL_CARE</x:v>
      </x:c>
      <x:c r="J305" s="30" t="n">
        <x:v>1061.67</x:v>
      </x:c>
    </x:row>
    <x:row r="306">
      <x:c r="F306" t="str">
        <x:v>EXP00256</x:v>
      </x:c>
      <x:c r="G306" t="n">
        <x:v>46113</x:v>
      </x:c>
      <x:c r="H306" t="str">
        <x:v>FDTN-CZ-891</x:v>
      </x:c>
      <x:c r="I306" t="str">
        <x:v>ANIMAL_CARE</x:v>
      </x:c>
      <x:c r="J306" s="30" t="n">
        <x:v>951.5</x:v>
      </x:c>
    </x:row>
    <x:row r="307">
      <x:c r="F307" t="str">
        <x:v>EXP00257</x:v>
      </x:c>
      <x:c r="G307" t="n">
        <x:v>46113</x:v>
      </x:c>
      <x:c r="H307" t="str">
        <x:v>PCORI-12345</x:v>
      </x:c>
      <x:c r="I307" t="str">
        <x:v>ANIMAL_CARE</x:v>
      </x:c>
      <x:c r="J307" s="30" t="n">
        <x:v>814.4</x:v>
      </x:c>
    </x:row>
    <x:row r="308">
      <x:c r="F308" t="str">
        <x:v>EXP00258</x:v>
      </x:c>
      <x:c r="G308" t="n">
        <x:v>46143</x:v>
      </x:c>
      <x:c r="H308" t="str">
        <x:v>R01-HL145821</x:v>
      </x:c>
      <x:c r="I308" t="str">
        <x:v>ANIMAL_CARE</x:v>
      </x:c>
      <x:c r="J308" s="30" t="n">
        <x:v>1774.33</x:v>
      </x:c>
    </x:row>
    <x:row r="309">
      <x:c r="F309" t="str">
        <x:v>EXP00259</x:v>
      </x:c>
      <x:c r="G309" t="n">
        <x:v>46143</x:v>
      </x:c>
      <x:c r="H309" t="str">
        <x:v>NSF-2234567</x:v>
      </x:c>
      <x:c r="I309" t="str">
        <x:v>ANIMAL_CARE</x:v>
      </x:c>
      <x:c r="J309" s="30" t="n">
        <x:v>1908.15</x:v>
      </x:c>
    </x:row>
    <x:row r="310">
      <x:c r="F310" t="str">
        <x:v>EXP00260</x:v>
      </x:c>
      <x:c r="G310" t="n">
        <x:v>46174</x:v>
      </x:c>
      <x:c r="H310" t="str">
        <x:v>NSF-2234567</x:v>
      </x:c>
      <x:c r="I310" t="str">
        <x:v>ANIMAL_CARE</x:v>
      </x:c>
      <x:c r="J310" s="30" t="n">
        <x:v>540.65</x:v>
      </x:c>
    </x:row>
    <x:row r="311">
      <x:c r="F311" t="str">
        <x:v>EXP00261</x:v>
      </x:c>
      <x:c r="G311" t="n">
        <x:v>46174</x:v>
      </x:c>
      <x:c r="H311" t="str">
        <x:v>K99-AG054321</x:v>
      </x:c>
      <x:c r="I311" t="str">
        <x:v>ANIMAL_CARE</x:v>
      </x:c>
      <x:c r="J311" s="30" t="n">
        <x:v>654.73</x:v>
      </x:c>
    </x:row>
    <x:row r="312">
      <x:c r="F312" t="str">
        <x:v>EXP00262</x:v>
      </x:c>
      <x:c r="G312" t="n">
        <x:v>46174</x:v>
      </x:c>
      <x:c r="H312" t="str">
        <x:v>R01-HL145821</x:v>
      </x:c>
      <x:c r="I312" t="str">
        <x:v>ANIMAL_CARE</x:v>
      </x:c>
      <x:c r="J312" s="30" t="n">
        <x:v>2595.55</x:v>
      </x:c>
    </x:row>
    <x:row r="313">
      <x:c r="F313" t="str">
        <x:v>EXP00263</x:v>
      </x:c>
      <x:c r="G313" t="n">
        <x:v>45839</x:v>
      </x:c>
      <x:c r="H313" t="str">
        <x:v>FDTN-CZ-891</x:v>
      </x:c>
      <x:c r="I313" t="str">
        <x:v>HUMAN_SUBJECTS</x:v>
      </x:c>
      <x:c r="J313" s="30" t="n">
        <x:v>98.55</x:v>
      </x:c>
    </x:row>
    <x:row r="314">
      <x:c r="F314" t="str">
        <x:v>EXP00264</x:v>
      </x:c>
      <x:c r="G314" t="n">
        <x:v>45839</x:v>
      </x:c>
      <x:c r="H314" t="str">
        <x:v>PCORI-12345</x:v>
      </x:c>
      <x:c r="I314" t="str">
        <x:v>HUMAN_SUBJECTS</x:v>
      </x:c>
      <x:c r="J314" s="30" t="n">
        <x:v>175.92</x:v>
      </x:c>
    </x:row>
    <x:row r="315">
      <x:c r="F315" t="str">
        <x:v>EXP00265</x:v>
      </x:c>
      <x:c r="G315" t="n">
        <x:v>45870</x:v>
      </x:c>
      <x:c r="H315" t="str">
        <x:v>R01-CA198765</x:v>
      </x:c>
      <x:c r="I315" t="str">
        <x:v>HUMAN_SUBJECTS</x:v>
      </x:c>
      <x:c r="J315" s="30" t="n">
        <x:v>662.76</x:v>
      </x:c>
    </x:row>
    <x:row r="316">
      <x:c r="F316" t="str">
        <x:v>EXP00266</x:v>
      </x:c>
      <x:c r="G316" t="n">
        <x:v>45870</x:v>
      </x:c>
      <x:c r="H316" t="str">
        <x:v>NSF-2234567</x:v>
      </x:c>
      <x:c r="I316" t="str">
        <x:v>HUMAN_SUBJECTS</x:v>
      </x:c>
      <x:c r="J316" s="30" t="n">
        <x:v>220.84</x:v>
      </x:c>
    </x:row>
    <x:row r="317">
      <x:c r="F317" t="str">
        <x:v>EXP00267</x:v>
      </x:c>
      <x:c r="G317" t="n">
        <x:v>45901</x:v>
      </x:c>
      <x:c r="H317" t="str">
        <x:v>PCORI-12345</x:v>
      </x:c>
      <x:c r="I317" t="str">
        <x:v>HUMAN_SUBJECTS</x:v>
      </x:c>
      <x:c r="J317" s="30" t="n">
        <x:v>686.02</x:v>
      </x:c>
    </x:row>
    <x:row r="318">
      <x:c r="F318" t="str">
        <x:v>EXP00268</x:v>
      </x:c>
      <x:c r="G318" t="n">
        <x:v>45901</x:v>
      </x:c>
      <x:c r="H318" t="str">
        <x:v>R01-HL145821</x:v>
      </x:c>
      <x:c r="I318" t="str">
        <x:v>HUMAN_SUBJECTS</x:v>
      </x:c>
      <x:c r="J318" s="30" t="n">
        <x:v>1223.26</x:v>
      </x:c>
    </x:row>
    <x:row r="319">
      <x:c r="F319" t="str">
        <x:v>EXP00269</x:v>
      </x:c>
      <x:c r="G319" t="n">
        <x:v>45931</x:v>
      </x:c>
      <x:c r="H319" t="str">
        <x:v>NSF-2234567</x:v>
      </x:c>
      <x:c r="I319" t="str">
        <x:v>HUMAN_SUBJECTS</x:v>
      </x:c>
      <x:c r="J319" s="30" t="n">
        <x:v>733.6</x:v>
      </x:c>
    </x:row>
    <x:row r="320">
      <x:c r="F320" t="str">
        <x:v>EXP00270</x:v>
      </x:c>
      <x:c r="G320" t="n">
        <x:v>45931</x:v>
      </x:c>
      <x:c r="H320" t="str">
        <x:v>R01-HL145821</x:v>
      </x:c>
      <x:c r="I320" t="str">
        <x:v>HUMAN_SUBJECTS</x:v>
      </x:c>
      <x:c r="J320" s="30" t="n">
        <x:v>513.22</x:v>
      </x:c>
    </x:row>
    <x:row r="321">
      <x:c r="F321" t="str">
        <x:v>EXP00271</x:v>
      </x:c>
      <x:c r="G321" t="n">
        <x:v>45931</x:v>
      </x:c>
      <x:c r="H321" t="str">
        <x:v>PCORI-12345</x:v>
      </x:c>
      <x:c r="I321" t="str">
        <x:v>HUMAN_SUBJECTS</x:v>
      </x:c>
      <x:c r="J321" s="30" t="n">
        <x:v>180.75</x:v>
      </x:c>
    </x:row>
    <x:row r="322">
      <x:c r="F322" t="str">
        <x:v>EXP00272</x:v>
      </x:c>
      <x:c r="G322" t="n">
        <x:v>45962</x:v>
      </x:c>
      <x:c r="H322" t="str">
        <x:v>NSF-2234567</x:v>
      </x:c>
      <x:c r="I322" t="str">
        <x:v>HUMAN_SUBJECTS</x:v>
      </x:c>
      <x:c r="J322" s="30" t="n">
        <x:v>712.32</x:v>
      </x:c>
    </x:row>
    <x:row r="323">
      <x:c r="F323" t="str">
        <x:v>EXP00273</x:v>
      </x:c>
      <x:c r="G323" t="n">
        <x:v>45962</x:v>
      </x:c>
      <x:c r="H323" t="str">
        <x:v>DOD-W81XWH</x:v>
      </x:c>
      <x:c r="I323" t="str">
        <x:v>HUMAN_SUBJECTS</x:v>
      </x:c>
      <x:c r="J323" s="30" t="n">
        <x:v>446.24</x:v>
      </x:c>
    </x:row>
    <x:row r="324">
      <x:c r="F324" t="str">
        <x:v>EXP00274</x:v>
      </x:c>
      <x:c r="G324" t="n">
        <x:v>45992</x:v>
      </x:c>
      <x:c r="H324" t="str">
        <x:v>R01-CA198765</x:v>
      </x:c>
      <x:c r="I324" t="str">
        <x:v>HUMAN_SUBJECTS</x:v>
      </x:c>
      <x:c r="J324" s="30" t="n">
        <x:v>74.84</x:v>
      </x:c>
    </x:row>
    <x:row r="325">
      <x:c r="F325" t="str">
        <x:v>EXP00275</x:v>
      </x:c>
      <x:c r="G325" t="n">
        <x:v>45992</x:v>
      </x:c>
      <x:c r="H325" t="str">
        <x:v>NSF-2234567</x:v>
      </x:c>
      <x:c r="I325" t="str">
        <x:v>HUMAN_SUBJECTS</x:v>
      </x:c>
      <x:c r="J325" s="30" t="n">
        <x:v>227.51</x:v>
      </x:c>
    </x:row>
    <x:row r="326">
      <x:c r="F326" t="str">
        <x:v>EXP00276</x:v>
      </x:c>
      <x:c r="G326" t="n">
        <x:v>45992</x:v>
      </x:c>
      <x:c r="H326" t="str">
        <x:v>FDTN-CZ-891</x:v>
      </x:c>
      <x:c r="I326" t="str">
        <x:v>HUMAN_SUBJECTS</x:v>
      </x:c>
      <x:c r="J326" s="30" t="n">
        <x:v>270.11</x:v>
      </x:c>
    </x:row>
    <x:row r="327">
      <x:c r="F327" t="str">
        <x:v>EXP00277</x:v>
      </x:c>
      <x:c r="G327" t="n">
        <x:v>45992</x:v>
      </x:c>
      <x:c r="H327" t="str">
        <x:v>DOD-W81XWH</x:v>
      </x:c>
      <x:c r="I327" t="str">
        <x:v>HUMAN_SUBJECTS</x:v>
      </x:c>
      <x:c r="J327" s="30" t="n">
        <x:v>155.74</x:v>
      </x:c>
    </x:row>
    <x:row r="328">
      <x:c r="F328" t="str">
        <x:v>EXP00278</x:v>
      </x:c>
      <x:c r="G328" t="n">
        <x:v>46023</x:v>
      </x:c>
      <x:c r="H328" t="str">
        <x:v>DOD-W81XWH</x:v>
      </x:c>
      <x:c r="I328" t="str">
        <x:v>HUMAN_SUBJECTS</x:v>
      </x:c>
      <x:c r="J328" s="30" t="n">
        <x:v>275.35</x:v>
      </x:c>
    </x:row>
    <x:row r="329">
      <x:c r="F329" t="str">
        <x:v>EXP00279</x:v>
      </x:c>
      <x:c r="G329" t="n">
        <x:v>46023</x:v>
      </x:c>
      <x:c r="H329" t="str">
        <x:v>PCORI-12345</x:v>
      </x:c>
      <x:c r="I329" t="str">
        <x:v>HUMAN_SUBJECTS</x:v>
      </x:c>
      <x:c r="J329" s="30" t="n">
        <x:v>309.43</x:v>
      </x:c>
    </x:row>
    <x:row r="330">
      <x:c r="F330" t="str">
        <x:v>EXP00280</x:v>
      </x:c>
      <x:c r="G330" t="n">
        <x:v>46054</x:v>
      </x:c>
      <x:c r="H330" t="str">
        <x:v>FDTN-CZ-891</x:v>
      </x:c>
      <x:c r="I330" t="str">
        <x:v>HUMAN_SUBJECTS</x:v>
      </x:c>
      <x:c r="J330" s="30" t="n">
        <x:v>505.76</x:v>
      </x:c>
    </x:row>
    <x:row r="331">
      <x:c r="F331" t="str">
        <x:v>EXP00281</x:v>
      </x:c>
      <x:c r="G331" t="n">
        <x:v>46054</x:v>
      </x:c>
      <x:c r="H331" t="str">
        <x:v>R01-CA198765</x:v>
      </x:c>
      <x:c r="I331" t="str">
        <x:v>HUMAN_SUBJECTS</x:v>
      </x:c>
      <x:c r="J331" s="30" t="n">
        <x:v>448.47</x:v>
      </x:c>
    </x:row>
    <x:row r="332">
      <x:c r="F332" t="str">
        <x:v>EXP00282</x:v>
      </x:c>
      <x:c r="G332" t="n">
        <x:v>46054</x:v>
      </x:c>
      <x:c r="H332" t="str">
        <x:v>DOD-W81XWH</x:v>
      </x:c>
      <x:c r="I332" t="str">
        <x:v>HUMAN_SUBJECTS</x:v>
      </x:c>
      <x:c r="J332" s="30" t="n">
        <x:v>379.88</x:v>
      </x:c>
    </x:row>
    <x:row r="333">
      <x:c r="F333" t="str">
        <x:v>EXP00283</x:v>
      </x:c>
      <x:c r="G333" t="n">
        <x:v>46054</x:v>
      </x:c>
      <x:c r="H333" t="str">
        <x:v>R01-HL145821</x:v>
      </x:c>
      <x:c r="I333" t="str">
        <x:v>HUMAN_SUBJECTS</x:v>
      </x:c>
      <x:c r="J333" s="30" t="n">
        <x:v>424.58</x:v>
      </x:c>
    </x:row>
    <x:row r="334">
      <x:c r="F334" t="str">
        <x:v>EXP00284</x:v>
      </x:c>
      <x:c r="G334" t="n">
        <x:v>46082</x:v>
      </x:c>
      <x:c r="H334" t="str">
        <x:v>FDTN-CZ-891</x:v>
      </x:c>
      <x:c r="I334" t="str">
        <x:v>HUMAN_SUBJECTS</x:v>
      </x:c>
      <x:c r="J334" s="30" t="n">
        <x:v>477.8</x:v>
      </x:c>
    </x:row>
    <x:row r="335">
      <x:c r="F335" t="str">
        <x:v>EXP00285</x:v>
      </x:c>
      <x:c r="G335" t="n">
        <x:v>46082</x:v>
      </x:c>
      <x:c r="H335" t="str">
        <x:v>PCORI-12345</x:v>
      </x:c>
      <x:c r="I335" t="str">
        <x:v>HUMAN_SUBJECTS</x:v>
      </x:c>
      <x:c r="J335" s="30" t="n">
        <x:v>491.88</x:v>
      </x:c>
    </x:row>
    <x:row r="336">
      <x:c r="F336" t="str">
        <x:v>EXP00286</x:v>
      </x:c>
      <x:c r="G336" t="n">
        <x:v>46082</x:v>
      </x:c>
      <x:c r="H336" t="str">
        <x:v>K99-AG054321</x:v>
      </x:c>
      <x:c r="I336" t="str">
        <x:v>HUMAN_SUBJECTS</x:v>
      </x:c>
      <x:c r="J336" s="30" t="n">
        <x:v>323.26</x:v>
      </x:c>
    </x:row>
    <x:row r="337">
      <x:c r="F337" t="str">
        <x:v>EXP00287</x:v>
      </x:c>
      <x:c r="G337" t="n">
        <x:v>46082</x:v>
      </x:c>
      <x:c r="H337" t="str">
        <x:v>DOD-W81XWH</x:v>
      </x:c>
      <x:c r="I337" t="str">
        <x:v>HUMAN_SUBJECTS</x:v>
      </x:c>
      <x:c r="J337" s="30" t="n">
        <x:v>513.68</x:v>
      </x:c>
    </x:row>
    <x:row r="338">
      <x:c r="F338" t="str">
        <x:v>EXP00288</x:v>
      </x:c>
      <x:c r="G338" t="n">
        <x:v>46113</x:v>
      </x:c>
      <x:c r="H338" t="str">
        <x:v>R01-CA198765</x:v>
      </x:c>
      <x:c r="I338" t="str">
        <x:v>HUMAN_SUBJECTS</x:v>
      </x:c>
      <x:c r="J338" s="30" t="n">
        <x:v>532.33</x:v>
      </x:c>
    </x:row>
    <x:row r="339">
      <x:c r="F339" t="str">
        <x:v>EXP00289</x:v>
      </x:c>
      <x:c r="G339" t="n">
        <x:v>46113</x:v>
      </x:c>
      <x:c r="H339" t="str">
        <x:v>NSF-2234567</x:v>
      </x:c>
      <x:c r="I339" t="str">
        <x:v>HUMAN_SUBJECTS</x:v>
      </x:c>
      <x:c r="J339" s="30" t="n">
        <x:v>122.79</x:v>
      </x:c>
    </x:row>
    <x:row r="340">
      <x:c r="F340" t="str">
        <x:v>EXP00290</x:v>
      </x:c>
      <x:c r="G340" t="n">
        <x:v>46113</x:v>
      </x:c>
      <x:c r="H340" t="str">
        <x:v>FDTN-CZ-891</x:v>
      </x:c>
      <x:c r="I340" t="str">
        <x:v>HUMAN_SUBJECTS</x:v>
      </x:c>
      <x:c r="J340" s="30" t="n">
        <x:v>693.28</x:v>
      </x:c>
    </x:row>
    <x:row r="341">
      <x:c r="F341" t="str">
        <x:v>EXP00291</x:v>
      </x:c>
      <x:c r="G341" t="n">
        <x:v>46143</x:v>
      </x:c>
      <x:c r="H341" t="str">
        <x:v>R01-HL145821</x:v>
      </x:c>
      <x:c r="I341" t="str">
        <x:v>HUMAN_SUBJECTS</x:v>
      </x:c>
      <x:c r="J341" s="30" t="n">
        <x:v>960.2</x:v>
      </x:c>
    </x:row>
    <x:row r="342">
      <x:c r="F342" t="str">
        <x:v>EXP00292</x:v>
      </x:c>
      <x:c r="G342" t="n">
        <x:v>46143</x:v>
      </x:c>
      <x:c r="H342" t="str">
        <x:v>DOD-W81XWH</x:v>
      </x:c>
      <x:c r="I342" t="str">
        <x:v>HUMAN_SUBJECTS</x:v>
      </x:c>
      <x:c r="J342" s="30" t="n">
        <x:v>358.41</x:v>
      </x:c>
    </x:row>
    <x:row r="343">
      <x:c r="F343" t="str">
        <x:v>EXP00293</x:v>
      </x:c>
      <x:c r="G343" t="n">
        <x:v>46174</x:v>
      </x:c>
      <x:c r="H343" t="str">
        <x:v>K99-AG054321</x:v>
      </x:c>
      <x:c r="I343" t="str">
        <x:v>HUMAN_SUBJECTS</x:v>
      </x:c>
      <x:c r="J343" s="30" t="n">
        <x:v>332.35</x:v>
      </x:c>
    </x:row>
    <x:row r="344">
      <x:c r="F344" t="str">
        <x:v>EXP00294</x:v>
      </x:c>
      <x:c r="G344" t="n">
        <x:v>46174</x:v>
      </x:c>
      <x:c r="H344" t="str">
        <x:v>DOD-W81XWH</x:v>
      </x:c>
      <x:c r="I344" t="str">
        <x:v>HUMAN_SUBJECTS</x:v>
      </x:c>
      <x:c r="J344" s="30" t="n">
        <x:v>142.51</x:v>
      </x:c>
    </x:row>
    <x:row r="345">
      <x:c r="F345" t="str">
        <x:v>EXP00295</x:v>
      </x:c>
      <x:c r="G345" t="n">
        <x:v>46174</x:v>
      </x:c>
      <x:c r="H345" t="str">
        <x:v>PCORI-12345</x:v>
      </x:c>
      <x:c r="I345" t="str">
        <x:v>HUMAN_SUBJECTS</x:v>
      </x:c>
      <x:c r="J345" s="30" t="n">
        <x:v>361.74</x:v>
      </x:c>
    </x:row>
    <x:row r="346">
      <x:c r="F346" t="str">
        <x:v>EXP00296</x:v>
      </x:c>
      <x:c r="G346" t="n">
        <x:v>46174</x:v>
      </x:c>
      <x:c r="H346" t="str">
        <x:v>FDTN-CZ-891</x:v>
      </x:c>
      <x:c r="I346" t="str">
        <x:v>HUMAN_SUBJECTS</x:v>
      </x:c>
      <x:c r="J346" s="30" t="n">
        <x:v>259.4</x:v>
      </x:c>
    </x:row>
    <x:row r="347">
      <x:c r="F347" t="str">
        <x:v>EXP00297</x:v>
      </x:c>
      <x:c r="G347" t="n">
        <x:v>45839</x:v>
      </x:c>
      <x:c r="H347" t="str">
        <x:v>FDTN-CZ-891</x:v>
      </x:c>
      <x:c r="I347" t="str">
        <x:v>PUBLICATION</x:v>
      </x:c>
      <x:c r="J347" s="30" t="n">
        <x:v>0</x:v>
      </x:c>
    </x:row>
    <x:row r="348">
      <x:c r="F348" t="str">
        <x:v>EXP00298</x:v>
      </x:c>
      <x:c r="G348" t="n">
        <x:v>45839</x:v>
      </x:c>
      <x:c r="H348" t="str">
        <x:v>R01-HL145821</x:v>
      </x:c>
      <x:c r="I348" t="str">
        <x:v>PUBLICATION</x:v>
      </x:c>
      <x:c r="J348" s="30" t="n">
        <x:v>0</x:v>
      </x:c>
    </x:row>
    <x:row r="349">
      <x:c r="F349" t="str">
        <x:v>EXP00299</x:v>
      </x:c>
      <x:c r="G349" t="n">
        <x:v>45870</x:v>
      </x:c>
      <x:c r="H349" t="str">
        <x:v>NSF-2234567</x:v>
      </x:c>
      <x:c r="I349" t="str">
        <x:v>PUBLICATION</x:v>
      </x:c>
      <x:c r="J349" s="30" t="n">
        <x:v>0</x:v>
      </x:c>
    </x:row>
    <x:row r="350">
      <x:c r="F350" t="str">
        <x:v>EXP00300</x:v>
      </x:c>
      <x:c r="G350" t="n">
        <x:v>45870</x:v>
      </x:c>
      <x:c r="H350" t="str">
        <x:v>PCORI-12345</x:v>
      </x:c>
      <x:c r="I350" t="str">
        <x:v>PUBLICATION</x:v>
      </x:c>
      <x:c r="J350" s="30" t="n">
        <x:v>0</x:v>
      </x:c>
    </x:row>
    <x:row r="351">
      <x:c r="F351" t="str">
        <x:v>EXP00301</x:v>
      </x:c>
      <x:c r="G351" t="n">
        <x:v>45901</x:v>
      </x:c>
      <x:c r="H351" t="str">
        <x:v>NSF-2234567</x:v>
      </x:c>
      <x:c r="I351" t="str">
        <x:v>PUBLICATION</x:v>
      </x:c>
      <x:c r="J351" s="30" t="n">
        <x:v>1918.99</x:v>
      </x:c>
    </x:row>
    <x:row r="352">
      <x:c r="F352" t="str">
        <x:v>EXP00302</x:v>
      </x:c>
      <x:c r="G352" t="n">
        <x:v>45901</x:v>
      </x:c>
      <x:c r="H352" t="str">
        <x:v>DOD-W81XWH</x:v>
      </x:c>
      <x:c r="I352" t="str">
        <x:v>PUBLICATION</x:v>
      </x:c>
      <x:c r="J352" s="30" t="n">
        <x:v>2266.8</x:v>
      </x:c>
    </x:row>
    <x:row r="353">
      <x:c r="F353" t="str">
        <x:v>EXP00303</x:v>
      </x:c>
      <x:c r="G353" t="n">
        <x:v>45931</x:v>
      </x:c>
      <x:c r="H353" t="str">
        <x:v>DOD-W81XWH</x:v>
      </x:c>
      <x:c r="I353" t="str">
        <x:v>PUBLICATION</x:v>
      </x:c>
      <x:c r="J353" s="30" t="n">
        <x:v>0</x:v>
      </x:c>
    </x:row>
    <x:row r="354">
      <x:c r="F354" t="str">
        <x:v>EXP00304</x:v>
      </x:c>
      <x:c r="G354" t="n">
        <x:v>45931</x:v>
      </x:c>
      <x:c r="H354" t="str">
        <x:v>R01-CA198765</x:v>
      </x:c>
      <x:c r="I354" t="str">
        <x:v>PUBLICATION</x:v>
      </x:c>
      <x:c r="J354" s="30" t="n">
        <x:v>0</x:v>
      </x:c>
    </x:row>
    <x:row r="355">
      <x:c r="F355" t="str">
        <x:v>EXP00305</x:v>
      </x:c>
      <x:c r="G355" t="n">
        <x:v>45931</x:v>
      </x:c>
      <x:c r="H355" t="str">
        <x:v>R01-HL145821</x:v>
      </x:c>
      <x:c r="I355" t="str">
        <x:v>PUBLICATION</x:v>
      </x:c>
      <x:c r="J355" s="30" t="n">
        <x:v>0</x:v>
      </x:c>
    </x:row>
    <x:row r="356">
      <x:c r="F356" t="str">
        <x:v>EXP00306</x:v>
      </x:c>
      <x:c r="G356" t="n">
        <x:v>45962</x:v>
      </x:c>
      <x:c r="H356" t="str">
        <x:v>R01-HL145821</x:v>
      </x:c>
      <x:c r="I356" t="str">
        <x:v>PUBLICATION</x:v>
      </x:c>
      <x:c r="J356" s="30" t="n">
        <x:v>0</x:v>
      </x:c>
    </x:row>
    <x:row r="357">
      <x:c r="F357" t="str">
        <x:v>EXP00307</x:v>
      </x:c>
      <x:c r="G357" t="n">
        <x:v>45962</x:v>
      </x:c>
      <x:c r="H357" t="str">
        <x:v>NSF-2234567</x:v>
      </x:c>
      <x:c r="I357" t="str">
        <x:v>PUBLICATION</x:v>
      </x:c>
      <x:c r="J357" s="30" t="n">
        <x:v>0</x:v>
      </x:c>
    </x:row>
    <x:row r="358">
      <x:c r="F358" t="str">
        <x:v>EXP00308</x:v>
      </x:c>
      <x:c r="G358" t="n">
        <x:v>45992</x:v>
      </x:c>
      <x:c r="H358" t="str">
        <x:v>FDTN-CZ-891</x:v>
      </x:c>
      <x:c r="I358" t="str">
        <x:v>PUBLICATION</x:v>
      </x:c>
      <x:c r="J358" s="30" t="n">
        <x:v>937.34</x:v>
      </x:c>
    </x:row>
    <x:row r="359">
      <x:c r="F359" t="str">
        <x:v>EXP00309</x:v>
      </x:c>
      <x:c r="G359" t="n">
        <x:v>45992</x:v>
      </x:c>
      <x:c r="H359" t="str">
        <x:v>PCORI-12345</x:v>
      </x:c>
      <x:c r="I359" t="str">
        <x:v>PUBLICATION</x:v>
      </x:c>
      <x:c r="J359" s="30" t="n">
        <x:v>401.83</x:v>
      </x:c>
    </x:row>
    <x:row r="360">
      <x:c r="F360" t="str">
        <x:v>EXP00310</x:v>
      </x:c>
      <x:c r="G360" t="n">
        <x:v>45992</x:v>
      </x:c>
      <x:c r="H360" t="str">
        <x:v>DOD-W81XWH</x:v>
      </x:c>
      <x:c r="I360" t="str">
        <x:v>PUBLICATION</x:v>
      </x:c>
      <x:c r="J360" s="30" t="n">
        <x:v>186.32</x:v>
      </x:c>
    </x:row>
    <x:row r="361">
      <x:c r="F361" t="str">
        <x:v>EXP00311</x:v>
      </x:c>
      <x:c r="G361" t="n">
        <x:v>46023</x:v>
      </x:c>
      <x:c r="H361" t="str">
        <x:v>R01-HL145821</x:v>
      </x:c>
      <x:c r="I361" t="str">
        <x:v>PUBLICATION</x:v>
      </x:c>
      <x:c r="J361" s="30" t="n">
        <x:v>0</x:v>
      </x:c>
    </x:row>
    <x:row r="362">
      <x:c r="F362" t="str">
        <x:v>EXP00312</x:v>
      </x:c>
      <x:c r="G362" t="n">
        <x:v>46023</x:v>
      </x:c>
      <x:c r="H362" t="str">
        <x:v>K99-AG054321</x:v>
      </x:c>
      <x:c r="I362" t="str">
        <x:v>PUBLICATION</x:v>
      </x:c>
      <x:c r="J362" s="30" t="n">
        <x:v>0</x:v>
      </x:c>
    </x:row>
    <x:row r="363">
      <x:c r="F363" t="str">
        <x:v>EXP00313</x:v>
      </x:c>
      <x:c r="G363" t="n">
        <x:v>46023</x:v>
      </x:c>
      <x:c r="H363" t="str">
        <x:v>FDTN-CZ-891</x:v>
      </x:c>
      <x:c r="I363" t="str">
        <x:v>PUBLICATION</x:v>
      </x:c>
      <x:c r="J363" s="30" t="n">
        <x:v>0</x:v>
      </x:c>
    </x:row>
    <x:row r="364">
      <x:c r="F364" t="str">
        <x:v>EXP00314</x:v>
      </x:c>
      <x:c r="G364" t="n">
        <x:v>46054</x:v>
      </x:c>
      <x:c r="H364" t="str">
        <x:v>NSF-2234567</x:v>
      </x:c>
      <x:c r="I364" t="str">
        <x:v>PUBLICATION</x:v>
      </x:c>
      <x:c r="J364" s="30" t="n">
        <x:v>907.41</x:v>
      </x:c>
    </x:row>
    <x:row r="365">
      <x:c r="F365" t="str">
        <x:v>EXP00315</x:v>
      </x:c>
      <x:c r="G365" t="n">
        <x:v>46054</x:v>
      </x:c>
      <x:c r="H365" t="str">
        <x:v>K99-AG054321</x:v>
      </x:c>
      <x:c r="I365" t="str">
        <x:v>PUBLICATION</x:v>
      </x:c>
      <x:c r="J365" s="30" t="n">
        <x:v>615.15</x:v>
      </x:c>
    </x:row>
    <x:row r="366">
      <x:c r="F366" t="str">
        <x:v>EXP00316</x:v>
      </x:c>
      <x:c r="G366" t="n">
        <x:v>46054</x:v>
      </x:c>
      <x:c r="H366" t="str">
        <x:v>DOD-W81XWH</x:v>
      </x:c>
      <x:c r="I366" t="str">
        <x:v>PUBLICATION</x:v>
      </x:c>
      <x:c r="J366" s="30" t="n">
        <x:v>336.99</x:v>
      </x:c>
    </x:row>
    <x:row r="367">
      <x:c r="F367" t="str">
        <x:v>EXP00317</x:v>
      </x:c>
      <x:c r="G367" t="n">
        <x:v>46054</x:v>
      </x:c>
      <x:c r="H367" t="str">
        <x:v>PCORI-12345</x:v>
      </x:c>
      <x:c r="I367" t="str">
        <x:v>PUBLICATION</x:v>
      </x:c>
      <x:c r="J367" s="30" t="n">
        <x:v>1244.58</x:v>
      </x:c>
    </x:row>
    <x:row r="368">
      <x:c r="F368" t="str">
        <x:v>EXP00318</x:v>
      </x:c>
      <x:c r="G368" t="n">
        <x:v>46082</x:v>
      </x:c>
      <x:c r="H368" t="str">
        <x:v>NSF-2234567</x:v>
      </x:c>
      <x:c r="I368" t="str">
        <x:v>PUBLICATION</x:v>
      </x:c>
      <x:c r="J368" s="30" t="n">
        <x:v>0</x:v>
      </x:c>
    </x:row>
    <x:row r="369">
      <x:c r="F369" t="str">
        <x:v>EXP00319</x:v>
      </x:c>
      <x:c r="G369" t="n">
        <x:v>46082</x:v>
      </x:c>
      <x:c r="H369" t="str">
        <x:v>K99-AG054321</x:v>
      </x:c>
      <x:c r="I369" t="str">
        <x:v>PUBLICATION</x:v>
      </x:c>
      <x:c r="J369" s="30" t="n">
        <x:v>0</x:v>
      </x:c>
    </x:row>
    <x:row r="370">
      <x:c r="F370" t="str">
        <x:v>EXP00320</x:v>
      </x:c>
      <x:c r="G370" t="n">
        <x:v>46113</x:v>
      </x:c>
      <x:c r="H370" t="str">
        <x:v>FDTN-CZ-891</x:v>
      </x:c>
      <x:c r="I370" t="str">
        <x:v>PUBLICATION</x:v>
      </x:c>
      <x:c r="J370" s="30" t="n">
        <x:v>1264.46</x:v>
      </x:c>
    </x:row>
    <x:row r="371">
      <x:c r="F371" t="str">
        <x:v>EXP00321</x:v>
      </x:c>
      <x:c r="G371" t="n">
        <x:v>46113</x:v>
      </x:c>
      <x:c r="H371" t="str">
        <x:v>DOD-W81XWH</x:v>
      </x:c>
      <x:c r="I371" t="str">
        <x:v>PUBLICATION</x:v>
      </x:c>
      <x:c r="J371" s="30" t="n">
        <x:v>94.39</x:v>
      </x:c>
    </x:row>
    <x:row r="372">
      <x:c r="F372" t="str">
        <x:v>EXP00322</x:v>
      </x:c>
      <x:c r="G372" t="n">
        <x:v>46143</x:v>
      </x:c>
      <x:c r="H372" t="str">
        <x:v>PCORI-12345</x:v>
      </x:c>
      <x:c r="I372" t="str">
        <x:v>PUBLICATION</x:v>
      </x:c>
      <x:c r="J372" s="30" t="n">
        <x:v>1250.09</x:v>
      </x:c>
    </x:row>
    <x:row r="373">
      <x:c r="F373" t="str">
        <x:v>EXP00323</x:v>
      </x:c>
      <x:c r="G373" t="n">
        <x:v>46143</x:v>
      </x:c>
      <x:c r="H373" t="str">
        <x:v>DOD-W81XWH</x:v>
      </x:c>
      <x:c r="I373" t="str">
        <x:v>PUBLICATION</x:v>
      </x:c>
      <x:c r="J373" s="30" t="n">
        <x:v>202.27</x:v>
      </x:c>
    </x:row>
    <x:row r="374">
      <x:c r="F374" t="str">
        <x:v>EXP00324</x:v>
      </x:c>
      <x:c r="G374" t="n">
        <x:v>46174</x:v>
      </x:c>
      <x:c r="H374" t="str">
        <x:v>NSF-2234567</x:v>
      </x:c>
      <x:c r="I374" t="str">
        <x:v>PUBLICATION</x:v>
      </x:c>
      <x:c r="J374" s="30" t="n">
        <x:v>0</x:v>
      </x:c>
    </x:row>
    <x:row r="375">
      <x:c r="F375" t="str">
        <x:v>EXP00325</x:v>
      </x:c>
      <x:c r="G375" t="n">
        <x:v>46174</x:v>
      </x:c>
      <x:c r="H375" t="str">
        <x:v>K99-AG054321</x:v>
      </x:c>
      <x:c r="I375" t="str">
        <x:v>PUBLICATION</x:v>
      </x:c>
      <x:c r="J375" s="30" t="n">
        <x:v>0</x:v>
      </x:c>
    </x:row>
    <x:row r="376">
      <x:c r="F376" t="str">
        <x:v>EXP00326</x:v>
      </x:c>
      <x:c r="G376" t="n">
        <x:v>46174</x:v>
      </x:c>
      <x:c r="H376" t="str">
        <x:v>FDTN-CZ-891</x:v>
      </x:c>
      <x:c r="I376" t="str">
        <x:v>PUBLICATION</x:v>
      </x:c>
      <x:c r="J376" s="30" t="n">
        <x:v>0</x:v>
      </x:c>
    </x:row>
    <x:row r="377">
      <x:c r="F377" t="str">
        <x:v>EXP00327</x:v>
      </x:c>
      <x:c r="G377" t="n">
        <x:v>45839</x:v>
      </x:c>
      <x:c r="H377" t="str">
        <x:v>DOD-W81XWH</x:v>
      </x:c>
      <x:c r="I377" t="str">
        <x:v>COMPUTE</x:v>
      </x:c>
      <x:c r="J377" s="30" t="n">
        <x:v>775.74</x:v>
      </x:c>
    </x:row>
    <x:row r="378">
      <x:c r="F378" t="str">
        <x:v>EXP00328</x:v>
      </x:c>
      <x:c r="G378" t="n">
        <x:v>45839</x:v>
      </x:c>
      <x:c r="H378" t="str">
        <x:v>R01-HL145821</x:v>
      </x:c>
      <x:c r="I378" t="str">
        <x:v>COMPUTE</x:v>
      </x:c>
      <x:c r="J378" s="30" t="n">
        <x:v>258.41</x:v>
      </x:c>
    </x:row>
    <x:row r="379">
      <x:c r="F379" t="str">
        <x:v>EXP00329</x:v>
      </x:c>
      <x:c r="G379" t="n">
        <x:v>45839</x:v>
      </x:c>
      <x:c r="H379" t="str">
        <x:v>FDTN-CZ-891</x:v>
      </x:c>
      <x:c r="I379" t="str">
        <x:v>COMPUTE</x:v>
      </x:c>
      <x:c r="J379" s="30" t="n">
        <x:v>821.03</x:v>
      </x:c>
    </x:row>
    <x:row r="380">
      <x:c r="F380" t="str">
        <x:v>EXP00330</x:v>
      </x:c>
      <x:c r="G380" t="n">
        <x:v>45870</x:v>
      </x:c>
      <x:c r="H380" t="str">
        <x:v>PCORI-12345</x:v>
      </x:c>
      <x:c r="I380" t="str">
        <x:v>COMPUTE</x:v>
      </x:c>
      <x:c r="J380" s="30" t="n">
        <x:v>57.1</x:v>
      </x:c>
    </x:row>
    <x:row r="381">
      <x:c r="F381" t="str">
        <x:v>EXP00331</x:v>
      </x:c>
      <x:c r="G381" t="n">
        <x:v>45870</x:v>
      </x:c>
      <x:c r="H381" t="str">
        <x:v>K99-AG054321</x:v>
      </x:c>
      <x:c r="I381" t="str">
        <x:v>COMPUTE</x:v>
      </x:c>
      <x:c r="J381" s="30" t="n">
        <x:v>577.68</x:v>
      </x:c>
    </x:row>
    <x:row r="382">
      <x:c r="F382" t="str">
        <x:v>EXP00332</x:v>
      </x:c>
      <x:c r="G382" t="n">
        <x:v>45870</x:v>
      </x:c>
      <x:c r="H382" t="str">
        <x:v>DOD-W81XWH</x:v>
      </x:c>
      <x:c r="I382" t="str">
        <x:v>COMPUTE</x:v>
      </x:c>
      <x:c r="J382" s="30" t="n">
        <x:v>756.21</x:v>
      </x:c>
    </x:row>
    <x:row r="383">
      <x:c r="F383" t="str">
        <x:v>EXP00333</x:v>
      </x:c>
      <x:c r="G383" t="n">
        <x:v>45870</x:v>
      </x:c>
      <x:c r="H383" t="str">
        <x:v>FDTN-CZ-891</x:v>
      </x:c>
      <x:c r="I383" t="str">
        <x:v>COMPUTE</x:v>
      </x:c>
      <x:c r="J383" s="30" t="n">
        <x:v>389.36</x:v>
      </x:c>
    </x:row>
    <x:row r="384">
      <x:c r="F384" t="str">
        <x:v>EXP00334</x:v>
      </x:c>
      <x:c r="G384" t="n">
        <x:v>45901</x:v>
      </x:c>
      <x:c r="H384" t="str">
        <x:v>K99-AG054321</x:v>
      </x:c>
      <x:c r="I384" t="str">
        <x:v>COMPUTE</x:v>
      </x:c>
      <x:c r="J384" s="30" t="n">
        <x:v>1106.7</x:v>
      </x:c>
    </x:row>
    <x:row r="385">
      <x:c r="F385" t="str">
        <x:v>EXP00335</x:v>
      </x:c>
      <x:c r="G385" t="n">
        <x:v>45901</x:v>
      </x:c>
      <x:c r="H385" t="str">
        <x:v>DOD-W81XWH</x:v>
      </x:c>
      <x:c r="I385" t="str">
        <x:v>COMPUTE</x:v>
      </x:c>
      <x:c r="J385" s="30" t="n">
        <x:v>652.78</x:v>
      </x:c>
    </x:row>
    <x:row r="386">
      <x:c r="F386" t="str">
        <x:v>EXP00336</x:v>
      </x:c>
      <x:c r="G386" t="n">
        <x:v>45931</x:v>
      </x:c>
      <x:c r="H386" t="str">
        <x:v>R01-HL145821</x:v>
      </x:c>
      <x:c r="I386" t="str">
        <x:v>COMPUTE</x:v>
      </x:c>
      <x:c r="J386" s="30" t="n">
        <x:v>851.98</x:v>
      </x:c>
    </x:row>
    <x:row r="387">
      <x:c r="F387" t="str">
        <x:v>EXP00337</x:v>
      </x:c>
      <x:c r="G387" t="n">
        <x:v>45931</x:v>
      </x:c>
      <x:c r="H387" t="str">
        <x:v>K99-AG054321</x:v>
      </x:c>
      <x:c r="I387" t="str">
        <x:v>COMPUTE</x:v>
      </x:c>
      <x:c r="J387" s="30" t="n">
        <x:v>555.67</x:v>
      </x:c>
    </x:row>
    <x:row r="388">
      <x:c r="F388" t="str">
        <x:v>EXP00338</x:v>
      </x:c>
      <x:c r="G388" t="n">
        <x:v>45931</x:v>
      </x:c>
      <x:c r="H388" t="str">
        <x:v>FDTN-CZ-891</x:v>
      </x:c>
      <x:c r="I388" t="str">
        <x:v>COMPUTE</x:v>
      </x:c>
      <x:c r="J388" s="30" t="n">
        <x:v>449.1</x:v>
      </x:c>
    </x:row>
    <x:row r="389">
      <x:c r="F389" t="str">
        <x:v>EXP00339</x:v>
      </x:c>
      <x:c r="G389" t="n">
        <x:v>45962</x:v>
      </x:c>
      <x:c r="H389" t="str">
        <x:v>NSF-2234567</x:v>
      </x:c>
      <x:c r="I389" t="str">
        <x:v>COMPUTE</x:v>
      </x:c>
      <x:c r="J389" s="30" t="n">
        <x:v>891.48</x:v>
      </x:c>
    </x:row>
    <x:row r="390">
      <x:c r="F390" t="str">
        <x:v>EXP00340</x:v>
      </x:c>
      <x:c r="G390" t="n">
        <x:v>45962</x:v>
      </x:c>
      <x:c r="H390" t="str">
        <x:v>DOD-W81XWH</x:v>
      </x:c>
      <x:c r="I390" t="str">
        <x:v>COMPUTE</x:v>
      </x:c>
      <x:c r="J390" s="30" t="n">
        <x:v>760</x:v>
      </x:c>
    </x:row>
    <x:row r="391">
      <x:c r="F391" t="str">
        <x:v>EXP00341</x:v>
      </x:c>
      <x:c r="G391" t="n">
        <x:v>45992</x:v>
      </x:c>
      <x:c r="H391" t="str">
        <x:v>R01-HL145821</x:v>
      </x:c>
      <x:c r="I391" t="str">
        <x:v>COMPUTE</x:v>
      </x:c>
      <x:c r="J391" s="30" t="n">
        <x:v>1202.67</x:v>
      </x:c>
    </x:row>
    <x:row r="392">
      <x:c r="F392" t="str">
        <x:v>EXP00342</x:v>
      </x:c>
      <x:c r="G392" t="n">
        <x:v>45992</x:v>
      </x:c>
      <x:c r="H392" t="str">
        <x:v>K99-AG054321</x:v>
      </x:c>
      <x:c r="I392" t="str">
        <x:v>COMPUTE</x:v>
      </x:c>
      <x:c r="J392" s="30" t="n">
        <x:v>489.6</x:v>
      </x:c>
    </x:row>
    <x:row r="393">
      <x:c r="F393" t="str">
        <x:v>EXP00343</x:v>
      </x:c>
      <x:c r="G393" t="n">
        <x:v>46023</x:v>
      </x:c>
      <x:c r="H393" t="str">
        <x:v>DOD-W81XWH</x:v>
      </x:c>
      <x:c r="I393" t="str">
        <x:v>COMPUTE</x:v>
      </x:c>
      <x:c r="J393" s="30" t="n">
        <x:v>1132.69</x:v>
      </x:c>
    </x:row>
    <x:row r="394">
      <x:c r="F394" t="str">
        <x:v>EXP00344</x:v>
      </x:c>
      <x:c r="G394" t="n">
        <x:v>46023</x:v>
      </x:c>
      <x:c r="H394" t="str">
        <x:v>R01-HL145821</x:v>
      </x:c>
      <x:c r="I394" t="str">
        <x:v>COMPUTE</x:v>
      </x:c>
      <x:c r="J394" s="30" t="n">
        <x:v>647.92</x:v>
      </x:c>
    </x:row>
    <x:row r="395">
      <x:c r="F395" t="str">
        <x:v>EXP00345</x:v>
      </x:c>
      <x:c r="G395" t="n">
        <x:v>46054</x:v>
      </x:c>
      <x:c r="H395" t="str">
        <x:v>R01-CA198765</x:v>
      </x:c>
      <x:c r="I395" t="str">
        <x:v>COMPUTE</x:v>
      </x:c>
      <x:c r="J395" s="30" t="n">
        <x:v>327.94</x:v>
      </x:c>
    </x:row>
    <x:row r="396">
      <x:c r="F396" t="str">
        <x:v>EXP00346</x:v>
      </x:c>
      <x:c r="G396" t="n">
        <x:v>46054</x:v>
      </x:c>
      <x:c r="H396" t="str">
        <x:v>PCORI-12345</x:v>
      </x:c>
      <x:c r="I396" t="str">
        <x:v>COMPUTE</x:v>
      </x:c>
      <x:c r="J396" s="30" t="n">
        <x:v>356.09</x:v>
      </x:c>
    </x:row>
    <x:row r="397">
      <x:c r="F397" t="str">
        <x:v>EXP00347</x:v>
      </x:c>
      <x:c r="G397" t="n">
        <x:v>46054</x:v>
      </x:c>
      <x:c r="H397" t="str">
        <x:v>R01-HL145821</x:v>
      </x:c>
      <x:c r="I397" t="str">
        <x:v>COMPUTE</x:v>
      </x:c>
      <x:c r="J397" s="30" t="n">
        <x:v>495.27</x:v>
      </x:c>
    </x:row>
    <x:row r="398">
      <x:c r="F398" t="str">
        <x:v>EXP00348</x:v>
      </x:c>
      <x:c r="G398" t="n">
        <x:v>46054</x:v>
      </x:c>
      <x:c r="H398" t="str">
        <x:v>DOD-W81XWH</x:v>
      </x:c>
      <x:c r="I398" t="str">
        <x:v>COMPUTE</x:v>
      </x:c>
      <x:c r="J398" s="30" t="n">
        <x:v>466.86</x:v>
      </x:c>
    </x:row>
    <x:row r="399">
      <x:c r="F399" t="str">
        <x:v>EXP00349</x:v>
      </x:c>
      <x:c r="G399" t="n">
        <x:v>46082</x:v>
      </x:c>
      <x:c r="H399" t="str">
        <x:v>PCORI-12345</x:v>
      </x:c>
      <x:c r="I399" t="str">
        <x:v>COMPUTE</x:v>
      </x:c>
      <x:c r="J399" s="30" t="n">
        <x:v>1134.32</x:v>
      </x:c>
    </x:row>
    <x:row r="400">
      <x:c r="F400" t="str">
        <x:v>EXP00350</x:v>
      </x:c>
      <x:c r="G400" t="n">
        <x:v>46082</x:v>
      </x:c>
      <x:c r="H400" t="str">
        <x:v>R01-CA198765</x:v>
      </x:c>
      <x:c r="I400" t="str">
        <x:v>COMPUTE</x:v>
      </x:c>
      <x:c r="J400" s="30" t="n">
        <x:v>388.86</x:v>
      </x:c>
    </x:row>
    <x:row r="401">
      <x:c r="F401" t="str">
        <x:v>EXP00351</x:v>
      </x:c>
      <x:c r="G401" t="n">
        <x:v>46082</x:v>
      </x:c>
      <x:c r="H401" t="str">
        <x:v>R01-HL145821</x:v>
      </x:c>
      <x:c r="I401" t="str">
        <x:v>COMPUTE</x:v>
      </x:c>
      <x:c r="J401" s="30" t="n">
        <x:v>234.96</x:v>
      </x:c>
    </x:row>
    <x:row r="402">
      <x:c r="F402" t="str">
        <x:v>EXP00352</x:v>
      </x:c>
      <x:c r="G402" t="n">
        <x:v>46113</x:v>
      </x:c>
      <x:c r="H402" t="str">
        <x:v>R01-CA198765</x:v>
      </x:c>
      <x:c r="I402" t="str">
        <x:v>COMPUTE</x:v>
      </x:c>
      <x:c r="J402" s="30" t="n">
        <x:v>762.66</x:v>
      </x:c>
    </x:row>
    <x:row r="403">
      <x:c r="F403" t="str">
        <x:v>EXP00353</x:v>
      </x:c>
      <x:c r="G403" t="n">
        <x:v>46113</x:v>
      </x:c>
      <x:c r="H403" t="str">
        <x:v>NSF-2234567</x:v>
      </x:c>
      <x:c r="I403" t="str">
        <x:v>COMPUTE</x:v>
      </x:c>
      <x:c r="J403" s="30" t="n">
        <x:v>976.51</x:v>
      </x:c>
    </x:row>
    <x:row r="404">
      <x:c r="F404" t="str">
        <x:v>EXP00354</x:v>
      </x:c>
      <x:c r="G404" t="n">
        <x:v>46143</x:v>
      </x:c>
      <x:c r="H404" t="str">
        <x:v>PCORI-12345</x:v>
      </x:c>
      <x:c r="I404" t="str">
        <x:v>COMPUTE</x:v>
      </x:c>
      <x:c r="J404" s="30" t="n">
        <x:v>776.18</x:v>
      </x:c>
    </x:row>
    <x:row r="405">
      <x:c r="F405" t="str">
        <x:v>EXP00355</x:v>
      </x:c>
      <x:c r="G405" t="n">
        <x:v>46143</x:v>
      </x:c>
      <x:c r="H405" t="str">
        <x:v>K99-AG054321</x:v>
      </x:c>
      <x:c r="I405" t="str">
        <x:v>COMPUTE</x:v>
      </x:c>
      <x:c r="J405" s="30" t="n">
        <x:v>331.95</x:v>
      </x:c>
    </x:row>
    <x:row r="406">
      <x:c r="F406" t="str">
        <x:v>EXP00356</x:v>
      </x:c>
      <x:c r="G406" t="n">
        <x:v>46143</x:v>
      </x:c>
      <x:c r="H406" t="str">
        <x:v>R01-HL145821</x:v>
      </x:c>
      <x:c r="I406" t="str">
        <x:v>COMPUTE</x:v>
      </x:c>
      <x:c r="J406" s="30" t="n">
        <x:v>746.5</x:v>
      </x:c>
    </x:row>
    <x:row r="407">
      <x:c r="F407" t="str">
        <x:v>EXP00357</x:v>
      </x:c>
      <x:c r="G407" t="n">
        <x:v>46174</x:v>
      </x:c>
      <x:c r="H407" t="str">
        <x:v>NSF-2234567</x:v>
      </x:c>
      <x:c r="I407" t="str">
        <x:v>COMPUTE</x:v>
      </x:c>
      <x:c r="J407" s="30" t="n">
        <x:v>1251.66</x:v>
      </x:c>
    </x:row>
    <x:row r="408">
      <x:c r="F408" t="str">
        <x:v>EXP00358</x:v>
      </x:c>
      <x:c r="G408" t="n">
        <x:v>46174</x:v>
      </x:c>
      <x:c r="H408" t="str">
        <x:v>DOD-W81XWH</x:v>
      </x:c>
      <x:c r="I408" t="str">
        <x:v>COMPUTE</x:v>
      </x:c>
      <x:c r="J408" s="30" t="n">
        <x:v>521.19</x:v>
      </x:c>
    </x:row>
    <x:row r="409">
      <x:c r="F409" t="str">
        <x:v>EXP00359</x:v>
      </x:c>
      <x:c r="G409" t="n">
        <x:v>45839</x:v>
      </x:c>
      <x:c r="H409" t="str">
        <x:v>R01-HL145821</x:v>
      </x:c>
      <x:c r="I409" t="str">
        <x:v>TRAVEL</x:v>
      </x:c>
      <x:c r="J409" s="30" t="n">
        <x:v>0</x:v>
      </x:c>
    </x:row>
    <x:row r="410">
      <x:c r="F410" t="str">
        <x:v>EXP00360</x:v>
      </x:c>
      <x:c r="G410" t="n">
        <x:v>45839</x:v>
      </x:c>
      <x:c r="H410" t="str">
        <x:v>DOD-W81XWH</x:v>
      </x:c>
      <x:c r="I410" t="str">
        <x:v>TRAVEL</x:v>
      </x:c>
      <x:c r="J410" s="30" t="n">
        <x:v>0</x:v>
      </x:c>
    </x:row>
    <x:row r="411">
      <x:c r="F411" t="str">
        <x:v>EXP00361</x:v>
      </x:c>
      <x:c r="G411" t="n">
        <x:v>45839</x:v>
      </x:c>
      <x:c r="H411" t="str">
        <x:v>PCORI-12345</x:v>
      </x:c>
      <x:c r="I411" t="str">
        <x:v>TRAVEL</x:v>
      </x:c>
      <x:c r="J411" s="30" t="n">
        <x:v>0</x:v>
      </x:c>
    </x:row>
    <x:row r="412">
      <x:c r="F412" t="str">
        <x:v>EXP00362</x:v>
      </x:c>
      <x:c r="G412" t="n">
        <x:v>45839</x:v>
      </x:c>
      <x:c r="H412" t="str">
        <x:v>R01-CA198765</x:v>
      </x:c>
      <x:c r="I412" t="str">
        <x:v>TRAVEL</x:v>
      </x:c>
      <x:c r="J412" s="30" t="n">
        <x:v>0</x:v>
      </x:c>
    </x:row>
    <x:row r="413">
      <x:c r="F413" t="str">
        <x:v>EXP00363</x:v>
      </x:c>
      <x:c r="G413" t="n">
        <x:v>45870</x:v>
      </x:c>
      <x:c r="H413" t="str">
        <x:v>NSF-2234567</x:v>
      </x:c>
      <x:c r="I413" t="str">
        <x:v>TRAVEL</x:v>
      </x:c>
      <x:c r="J413" s="30" t="n">
        <x:v>555.35</x:v>
      </x:c>
    </x:row>
    <x:row r="414">
      <x:c r="F414" t="str">
        <x:v>EXP00364</x:v>
      </x:c>
      <x:c r="G414" t="n">
        <x:v>45870</x:v>
      </x:c>
      <x:c r="H414" t="str">
        <x:v>R01-CA198765</x:v>
      </x:c>
      <x:c r="I414" t="str">
        <x:v>TRAVEL</x:v>
      </x:c>
      <x:c r="J414" s="30" t="n">
        <x:v>369.8</x:v>
      </x:c>
    </x:row>
    <x:row r="415">
      <x:c r="F415" t="str">
        <x:v>EXP00365</x:v>
      </x:c>
      <x:c r="G415" t="n">
        <x:v>45870</x:v>
      </x:c>
      <x:c r="H415" t="str">
        <x:v>K99-AG054321</x:v>
      </x:c>
      <x:c r="I415" t="str">
        <x:v>TRAVEL</x:v>
      </x:c>
      <x:c r="J415" s="30" t="n">
        <x:v>873.67</x:v>
      </x:c>
    </x:row>
    <x:row r="416">
      <x:c r="F416" t="str">
        <x:v>EXP00366</x:v>
      </x:c>
      <x:c r="G416" t="n">
        <x:v>45901</x:v>
      </x:c>
      <x:c r="H416" t="str">
        <x:v>DOD-W81XWH</x:v>
      </x:c>
      <x:c r="I416" t="str">
        <x:v>TRAVEL</x:v>
      </x:c>
      <x:c r="J416" s="30" t="n">
        <x:v>265.95</x:v>
      </x:c>
    </x:row>
    <x:row r="417">
      <x:c r="F417" t="str">
        <x:v>EXP00367</x:v>
      </x:c>
      <x:c r="G417" t="n">
        <x:v>45901</x:v>
      </x:c>
      <x:c r="H417" t="str">
        <x:v>R01-HL145821</x:v>
      </x:c>
      <x:c r="I417" t="str">
        <x:v>TRAVEL</x:v>
      </x:c>
      <x:c r="J417" s="30" t="n">
        <x:v>548.88</x:v>
      </x:c>
    </x:row>
    <x:row r="418">
      <x:c r="F418" t="str">
        <x:v>EXP00368</x:v>
      </x:c>
      <x:c r="G418" t="n">
        <x:v>45901</x:v>
      </x:c>
      <x:c r="H418" t="str">
        <x:v>R01-CA198765</x:v>
      </x:c>
      <x:c r="I418" t="str">
        <x:v>TRAVEL</x:v>
      </x:c>
      <x:c r="J418" s="30" t="n">
        <x:v>1497.93</x:v>
      </x:c>
    </x:row>
    <x:row r="419">
      <x:c r="F419" t="str">
        <x:v>EXP00369</x:v>
      </x:c>
      <x:c r="G419" t="n">
        <x:v>45901</x:v>
      </x:c>
      <x:c r="H419" t="str">
        <x:v>FDTN-CZ-891</x:v>
      </x:c>
      <x:c r="I419" t="str">
        <x:v>TRAVEL</x:v>
      </x:c>
      <x:c r="J419" s="30" t="n">
        <x:v>987.43</x:v>
      </x:c>
    </x:row>
    <x:row r="420">
      <x:c r="F420" t="str">
        <x:v>EXP00370</x:v>
      </x:c>
      <x:c r="G420" t="n">
        <x:v>45931</x:v>
      </x:c>
      <x:c r="H420" t="str">
        <x:v>K99-AG054321</x:v>
      </x:c>
      <x:c r="I420" t="str">
        <x:v>TRAVEL</x:v>
      </x:c>
      <x:c r="J420" s="30" t="n">
        <x:v>645.24</x:v>
      </x:c>
    </x:row>
    <x:row r="421">
      <x:c r="F421" t="str">
        <x:v>EXP00371</x:v>
      </x:c>
      <x:c r="G421" t="n">
        <x:v>45931</x:v>
      </x:c>
      <x:c r="H421" t="str">
        <x:v>FDTN-CZ-891</x:v>
      </x:c>
      <x:c r="I421" t="str">
        <x:v>TRAVEL</x:v>
      </x:c>
      <x:c r="J421" s="30" t="n">
        <x:v>182.32</x:v>
      </x:c>
    </x:row>
    <x:row r="422">
      <x:c r="F422" t="str">
        <x:v>EXP00372</x:v>
      </x:c>
      <x:c r="G422" t="n">
        <x:v>45931</x:v>
      </x:c>
      <x:c r="H422" t="str">
        <x:v>R01-HL145821</x:v>
      </x:c>
      <x:c r="I422" t="str">
        <x:v>TRAVEL</x:v>
      </x:c>
      <x:c r="J422" s="30" t="n">
        <x:v>1006.19</x:v>
      </x:c>
    </x:row>
    <x:row r="423">
      <x:c r="F423" t="str">
        <x:v>EXP00373</x:v>
      </x:c>
      <x:c r="G423" t="n">
        <x:v>45962</x:v>
      </x:c>
      <x:c r="H423" t="str">
        <x:v>DOD-W81XWH</x:v>
      </x:c>
      <x:c r="I423" t="str">
        <x:v>TRAVEL</x:v>
      </x:c>
      <x:c r="J423" s="30" t="n">
        <x:v>65.43</x:v>
      </x:c>
    </x:row>
    <x:row r="424">
      <x:c r="F424" t="str">
        <x:v>EXP00374</x:v>
      </x:c>
      <x:c r="G424" t="n">
        <x:v>45962</x:v>
      </x:c>
      <x:c r="H424" t="str">
        <x:v>K99-AG054321</x:v>
      </x:c>
      <x:c r="I424" t="str">
        <x:v>TRAVEL</x:v>
      </x:c>
      <x:c r="J424" s="30" t="n">
        <x:v>219.18</x:v>
      </x:c>
    </x:row>
    <x:row r="425">
      <x:c r="F425" t="str">
        <x:v>EXP00375</x:v>
      </x:c>
      <x:c r="G425" t="n">
        <x:v>45962</x:v>
      </x:c>
      <x:c r="H425" t="str">
        <x:v>R01-HL145821</x:v>
      </x:c>
      <x:c r="I425" t="str">
        <x:v>TRAVEL</x:v>
      </x:c>
      <x:c r="J425" s="30" t="n">
        <x:v>255.61</x:v>
      </x:c>
    </x:row>
    <x:row r="426">
      <x:c r="F426" t="str">
        <x:v>EXP00376</x:v>
      </x:c>
      <x:c r="G426" t="n">
        <x:v>45962</x:v>
      </x:c>
      <x:c r="H426" t="str">
        <x:v>FDTN-CZ-891</x:v>
      </x:c>
      <x:c r="I426" t="str">
        <x:v>TRAVEL</x:v>
      </x:c>
      <x:c r="J426" s="30" t="n">
        <x:v>387.84</x:v>
      </x:c>
    </x:row>
    <x:row r="427">
      <x:c r="F427" t="str">
        <x:v>EXP00377</x:v>
      </x:c>
      <x:c r="G427" t="n">
        <x:v>45992</x:v>
      </x:c>
      <x:c r="H427" t="str">
        <x:v>NSF-2234567</x:v>
      </x:c>
      <x:c r="I427" t="str">
        <x:v>TRAVEL</x:v>
      </x:c>
      <x:c r="J427" s="30" t="n">
        <x:v>209.72</x:v>
      </x:c>
    </x:row>
    <x:row r="428">
      <x:c r="F428" t="str">
        <x:v>EXP00378</x:v>
      </x:c>
      <x:c r="G428" t="n">
        <x:v>45992</x:v>
      </x:c>
      <x:c r="H428" t="str">
        <x:v>R01-HL145821</x:v>
      </x:c>
      <x:c r="I428" t="str">
        <x:v>TRAVEL</x:v>
      </x:c>
      <x:c r="J428" s="30" t="n">
        <x:v>661.35</x:v>
      </x:c>
    </x:row>
    <x:row r="429">
      <x:c r="F429" t="str">
        <x:v>EXP00379</x:v>
      </x:c>
      <x:c r="G429" t="n">
        <x:v>46023</x:v>
      </x:c>
      <x:c r="H429" t="str">
        <x:v>NSF-2234567</x:v>
      </x:c>
      <x:c r="I429" t="str">
        <x:v>TRAVEL</x:v>
      </x:c>
      <x:c r="J429" s="30" t="n">
        <x:v>0</x:v>
      </x:c>
    </x:row>
    <x:row r="430">
      <x:c r="F430" t="str">
        <x:v>EXP00380</x:v>
      </x:c>
      <x:c r="G430" t="n">
        <x:v>46023</x:v>
      </x:c>
      <x:c r="H430" t="str">
        <x:v>K99-AG054321</x:v>
      </x:c>
      <x:c r="I430" t="str">
        <x:v>TRAVEL</x:v>
      </x:c>
      <x:c r="J430" s="30" t="n">
        <x:v>0</x:v>
      </x:c>
    </x:row>
    <x:row r="431">
      <x:c r="F431" t="str">
        <x:v>EXP00381</x:v>
      </x:c>
      <x:c r="G431" t="n">
        <x:v>46023</x:v>
      </x:c>
      <x:c r="H431" t="str">
        <x:v>R01-HL145821</x:v>
      </x:c>
      <x:c r="I431" t="str">
        <x:v>TRAVEL</x:v>
      </x:c>
      <x:c r="J431" s="30" t="n">
        <x:v>0</x:v>
      </x:c>
    </x:row>
    <x:row r="432">
      <x:c r="F432" t="str">
        <x:v>EXP00382</x:v>
      </x:c>
      <x:c r="G432" t="n">
        <x:v>46023</x:v>
      </x:c>
      <x:c r="H432" t="str">
        <x:v>DOD-W81XWH</x:v>
      </x:c>
      <x:c r="I432" t="str">
        <x:v>TRAVEL</x:v>
      </x:c>
      <x:c r="J432" s="30" t="n">
        <x:v>0</x:v>
      </x:c>
    </x:row>
    <x:row r="433">
      <x:c r="F433" t="str">
        <x:v>EXP00383</x:v>
      </x:c>
      <x:c r="G433" t="n">
        <x:v>46054</x:v>
      </x:c>
      <x:c r="H433" t="str">
        <x:v>PCORI-12345</x:v>
      </x:c>
      <x:c r="I433" t="str">
        <x:v>TRAVEL</x:v>
      </x:c>
      <x:c r="J433" s="30" t="n">
        <x:v>147.11</x:v>
      </x:c>
    </x:row>
    <x:row r="434">
      <x:c r="F434" t="str">
        <x:v>EXP00384</x:v>
      </x:c>
      <x:c r="G434" t="n">
        <x:v>46054</x:v>
      </x:c>
      <x:c r="H434" t="str">
        <x:v>FDTN-CZ-891</x:v>
      </x:c>
      <x:c r="I434" t="str">
        <x:v>TRAVEL</x:v>
      </x:c>
      <x:c r="J434" s="30" t="n">
        <x:v>761.88</x:v>
      </x:c>
    </x:row>
    <x:row r="435">
      <x:c r="F435" t="str">
        <x:v>EXP00385</x:v>
      </x:c>
      <x:c r="G435" t="n">
        <x:v>46054</x:v>
      </x:c>
      <x:c r="H435" t="str">
        <x:v>R01-CA198765</x:v>
      </x:c>
      <x:c r="I435" t="str">
        <x:v>TRAVEL</x:v>
      </x:c>
      <x:c r="J435" s="30" t="n">
        <x:v>1399.83</x:v>
      </x:c>
    </x:row>
    <x:row r="436">
      <x:c r="F436" t="str">
        <x:v>EXP00386</x:v>
      </x:c>
      <x:c r="G436" t="n">
        <x:v>46054</x:v>
      </x:c>
      <x:c r="H436" t="str">
        <x:v>DOD-W81XWH</x:v>
      </x:c>
      <x:c r="I436" t="str">
        <x:v>TRAVEL</x:v>
      </x:c>
      <x:c r="J436" s="30" t="n">
        <x:v>167.26</x:v>
      </x:c>
    </x:row>
    <x:row r="437">
      <x:c r="F437" t="str">
        <x:v>EXP00387</x:v>
      </x:c>
      <x:c r="G437" t="n">
        <x:v>46082</x:v>
      </x:c>
      <x:c r="H437" t="str">
        <x:v>DOD-W81XWH</x:v>
      </x:c>
      <x:c r="I437" t="str">
        <x:v>TRAVEL</x:v>
      </x:c>
      <x:c r="J437" s="30" t="n">
        <x:v>1887.91</x:v>
      </x:c>
    </x:row>
    <x:row r="438">
      <x:c r="F438" t="str">
        <x:v>EXP00388</x:v>
      </x:c>
      <x:c r="G438" t="n">
        <x:v>46082</x:v>
      </x:c>
      <x:c r="H438" t="str">
        <x:v>R01-HL145821</x:v>
      </x:c>
      <x:c r="I438" t="str">
        <x:v>TRAVEL</x:v>
      </x:c>
      <x:c r="J438" s="30" t="n">
        <x:v>740.37</x:v>
      </x:c>
    </x:row>
    <x:row r="439">
      <x:c r="F439" t="str">
        <x:v>EXP00389</x:v>
      </x:c>
      <x:c r="G439" t="n">
        <x:v>46082</x:v>
      </x:c>
      <x:c r="H439" t="str">
        <x:v>NSF-2234567</x:v>
      </x:c>
      <x:c r="I439" t="str">
        <x:v>TRAVEL</x:v>
      </x:c>
      <x:c r="J439" s="30" t="n">
        <x:v>1143.56</x:v>
      </x:c>
    </x:row>
    <x:row r="440">
      <x:c r="F440" t="str">
        <x:v>EXP00390</x:v>
      </x:c>
      <x:c r="G440" t="n">
        <x:v>46113</x:v>
      </x:c>
      <x:c r="H440" t="str">
        <x:v>K99-AG054321</x:v>
      </x:c>
      <x:c r="I440" t="str">
        <x:v>TRAVEL</x:v>
      </x:c>
      <x:c r="J440" s="30" t="n">
        <x:v>17.78</x:v>
      </x:c>
    </x:row>
    <x:row r="441">
      <x:c r="F441" t="str">
        <x:v>EXP00391</x:v>
      </x:c>
      <x:c r="G441" t="n">
        <x:v>46113</x:v>
      </x:c>
      <x:c r="H441" t="str">
        <x:v>NSF-2234567</x:v>
      </x:c>
      <x:c r="I441" t="str">
        <x:v>TRAVEL</x:v>
      </x:c>
      <x:c r="J441" s="30" t="n">
        <x:v>618.09</x:v>
      </x:c>
    </x:row>
    <x:row r="442">
      <x:c r="F442" t="str">
        <x:v>EXP00392</x:v>
      </x:c>
      <x:c r="G442" t="n">
        <x:v>46113</x:v>
      </x:c>
      <x:c r="H442" t="str">
        <x:v>DOD-W81XWH</x:v>
      </x:c>
      <x:c r="I442" t="str">
        <x:v>TRAVEL</x:v>
      </x:c>
      <x:c r="J442" s="30" t="n">
        <x:v>531.37</x:v>
      </x:c>
    </x:row>
    <x:row r="443">
      <x:c r="F443" t="str">
        <x:v>EXP00393</x:v>
      </x:c>
      <x:c r="G443" t="n">
        <x:v>46113</x:v>
      </x:c>
      <x:c r="H443" t="str">
        <x:v>FDTN-CZ-891</x:v>
      </x:c>
      <x:c r="I443" t="str">
        <x:v>TRAVEL</x:v>
      </x:c>
      <x:c r="J443" s="30" t="n">
        <x:v>634.55</x:v>
      </x:c>
    </x:row>
    <x:row r="444">
      <x:c r="F444" t="str">
        <x:v>EXP00394</x:v>
      </x:c>
      <x:c r="G444" t="n">
        <x:v>46143</x:v>
      </x:c>
      <x:c r="H444" t="str">
        <x:v>FDTN-CZ-891</x:v>
      </x:c>
      <x:c r="I444" t="str">
        <x:v>TRAVEL</x:v>
      </x:c>
      <x:c r="J444" s="30" t="n">
        <x:v>26.72</x:v>
      </x:c>
    </x:row>
    <x:row r="445">
      <x:c r="F445" t="str">
        <x:v>EXP00395</x:v>
      </x:c>
      <x:c r="G445" t="n">
        <x:v>46143</x:v>
      </x:c>
      <x:c r="H445" t="str">
        <x:v>K99-AG054321</x:v>
      </x:c>
      <x:c r="I445" t="str">
        <x:v>TRAVEL</x:v>
      </x:c>
      <x:c r="J445" s="30" t="n">
        <x:v>316.05</x:v>
      </x:c>
    </x:row>
    <x:row r="446">
      <x:c r="F446" t="str">
        <x:v>EXP00396</x:v>
      </x:c>
      <x:c r="G446" t="n">
        <x:v>46143</x:v>
      </x:c>
      <x:c r="H446" t="str">
        <x:v>DOD-W81XWH</x:v>
      </x:c>
      <x:c r="I446" t="str">
        <x:v>TRAVEL</x:v>
      </x:c>
      <x:c r="J446" s="30" t="n">
        <x:v>359.04</x:v>
      </x:c>
    </x:row>
    <x:row r="447">
      <x:c r="F447" t="str">
        <x:v>EXP00397</x:v>
      </x:c>
      <x:c r="G447" t="n">
        <x:v>46143</x:v>
      </x:c>
      <x:c r="H447" t="str">
        <x:v>R01-HL145821</x:v>
      </x:c>
      <x:c r="I447" t="str">
        <x:v>TRAVEL</x:v>
      </x:c>
      <x:c r="J447" s="30" t="n">
        <x:v>168.26</x:v>
      </x:c>
    </x:row>
    <x:row r="448">
      <x:c r="F448" t="str">
        <x:v>EXP00398</x:v>
      </x:c>
      <x:c r="G448" t="n">
        <x:v>46174</x:v>
      </x:c>
      <x:c r="H448" t="str">
        <x:v>NSF-2234567</x:v>
      </x:c>
      <x:c r="I448" t="str">
        <x:v>TRAVEL</x:v>
      </x:c>
      <x:c r="J448" s="30" t="n">
        <x:v>0</x:v>
      </x:c>
    </x:row>
    <x:row r="449">
      <x:c r="F449" t="str">
        <x:v>EXP00399</x:v>
      </x:c>
      <x:c r="G449" t="n">
        <x:v>46174</x:v>
      </x:c>
      <x:c r="H449" t="str">
        <x:v>R01-HL145821</x:v>
      </x:c>
      <x:c r="I449" t="str">
        <x:v>TRAVEL</x:v>
      </x:c>
      <x:c r="J449" s="30" t="n">
        <x:v>0</x:v>
      </x:c>
    </x:row>
    <x:row r="450">
      <x:c r="F450" t="str">
        <x:v>EXP00400</x:v>
      </x:c>
      <x:c r="G450" t="n">
        <x:v>46174</x:v>
      </x:c>
      <x:c r="H450" t="str">
        <x:v>K99-AG054321</x:v>
      </x:c>
      <x:c r="I450" t="str">
        <x:v>TRAVEL</x:v>
      </x:c>
      <x:c r="J450" s="30" t="n">
        <x:v>0</x:v>
      </x:c>
    </x:row>
    <x:row r="451">
      <x:c r="F451" t="str">
        <x:v>EXP00401</x:v>
      </x:c>
      <x:c r="G451" t="n">
        <x:v>45839</x:v>
      </x:c>
      <x:c r="H451" t="str">
        <x:v>PCORI-12345</x:v>
      </x:c>
      <x:c r="I451" t="str">
        <x:v>INTL_TRAVEL</x:v>
      </x:c>
      <x:c r="J451" s="30" t="n">
        <x:v>0</x:v>
      </x:c>
    </x:row>
    <x:row r="452">
      <x:c r="F452" t="str">
        <x:v>EXP00402</x:v>
      </x:c>
      <x:c r="G452" t="n">
        <x:v>45839</x:v>
      </x:c>
      <x:c r="H452" t="str">
        <x:v>K99-AG054321</x:v>
      </x:c>
      <x:c r="I452" t="str">
        <x:v>INTL_TRAVEL</x:v>
      </x:c>
      <x:c r="J452" s="30" t="n">
        <x:v>0</x:v>
      </x:c>
    </x:row>
    <x:row r="453">
      <x:c r="F453" t="str">
        <x:v>EXP00403</x:v>
      </x:c>
      <x:c r="G453" t="n">
        <x:v>45870</x:v>
      </x:c>
      <x:c r="H453" t="str">
        <x:v>PCORI-12345</x:v>
      </x:c>
      <x:c r="I453" t="str">
        <x:v>INTL_TRAVEL</x:v>
      </x:c>
      <x:c r="J453" s="30" t="n">
        <x:v>0</x:v>
      </x:c>
    </x:row>
    <x:row r="454">
      <x:c r="F454" t="str">
        <x:v>EXP00404</x:v>
      </x:c>
      <x:c r="G454" t="n">
        <x:v>45870</x:v>
      </x:c>
      <x:c r="H454" t="str">
        <x:v>R01-HL145821</x:v>
      </x:c>
      <x:c r="I454" t="str">
        <x:v>INTL_TRAVEL</x:v>
      </x:c>
      <x:c r="J454" s="30" t="n">
        <x:v>0</x:v>
      </x:c>
    </x:row>
    <x:row r="455">
      <x:c r="F455" t="str">
        <x:v>EXP00405</x:v>
      </x:c>
      <x:c r="G455" t="n">
        <x:v>45901</x:v>
      </x:c>
      <x:c r="H455" t="str">
        <x:v>PCORI-12345</x:v>
      </x:c>
      <x:c r="I455" t="str">
        <x:v>INTL_TRAVEL</x:v>
      </x:c>
      <x:c r="J455" s="30" t="n">
        <x:v>0</x:v>
      </x:c>
    </x:row>
    <x:row r="456">
      <x:c r="F456" t="str">
        <x:v>EXP00406</x:v>
      </x:c>
      <x:c r="G456" t="n">
        <x:v>45901</x:v>
      </x:c>
      <x:c r="H456" t="str">
        <x:v>FDTN-CZ-891</x:v>
      </x:c>
      <x:c r="I456" t="str">
        <x:v>INTL_TRAVEL</x:v>
      </x:c>
      <x:c r="J456" s="30" t="n">
        <x:v>0</x:v>
      </x:c>
    </x:row>
    <x:row r="457">
      <x:c r="F457" t="str">
        <x:v>EXP00407</x:v>
      </x:c>
      <x:c r="G457" t="n">
        <x:v>45901</x:v>
      </x:c>
      <x:c r="H457" t="str">
        <x:v>NSF-2234567</x:v>
      </x:c>
      <x:c r="I457" t="str">
        <x:v>INTL_TRAVEL</x:v>
      </x:c>
      <x:c r="J457" s="30" t="n">
        <x:v>0</x:v>
      </x:c>
    </x:row>
    <x:row r="458">
      <x:c r="F458" t="str">
        <x:v>EXP00408</x:v>
      </x:c>
      <x:c r="G458" t="n">
        <x:v>45931</x:v>
      </x:c>
      <x:c r="H458" t="str">
        <x:v>NSF-2234567</x:v>
      </x:c>
      <x:c r="I458" t="str">
        <x:v>INTL_TRAVEL</x:v>
      </x:c>
      <x:c r="J458" s="30" t="n">
        <x:v>0</x:v>
      </x:c>
    </x:row>
    <x:row r="459">
      <x:c r="F459" t="str">
        <x:v>EXP00409</x:v>
      </x:c>
      <x:c r="G459" t="n">
        <x:v>45931</x:v>
      </x:c>
      <x:c r="H459" t="str">
        <x:v>K99-AG054321</x:v>
      </x:c>
      <x:c r="I459" t="str">
        <x:v>INTL_TRAVEL</x:v>
      </x:c>
      <x:c r="J459" s="30" t="n">
        <x:v>0</x:v>
      </x:c>
    </x:row>
    <x:row r="460">
      <x:c r="F460" t="str">
        <x:v>EXP00410</x:v>
      </x:c>
      <x:c r="G460" t="n">
        <x:v>45931</x:v>
      </x:c>
      <x:c r="H460" t="str">
        <x:v>R01-HL145821</x:v>
      </x:c>
      <x:c r="I460" t="str">
        <x:v>INTL_TRAVEL</x:v>
      </x:c>
      <x:c r="J460" s="30" t="n">
        <x:v>0</x:v>
      </x:c>
    </x:row>
    <x:row r="461">
      <x:c r="F461" t="str">
        <x:v>EXP00411</x:v>
      </x:c>
      <x:c r="G461" t="n">
        <x:v>45931</x:v>
      </x:c>
      <x:c r="H461" t="str">
        <x:v>R01-CA198765</x:v>
      </x:c>
      <x:c r="I461" t="str">
        <x:v>INTL_TRAVEL</x:v>
      </x:c>
      <x:c r="J461" s="30" t="n">
        <x:v>0</x:v>
      </x:c>
    </x:row>
    <x:row r="462">
      <x:c r="F462" t="str">
        <x:v>EXP00412</x:v>
      </x:c>
      <x:c r="G462" t="n">
        <x:v>45962</x:v>
      </x:c>
      <x:c r="H462" t="str">
        <x:v>K99-AG054321</x:v>
      </x:c>
      <x:c r="I462" t="str">
        <x:v>INTL_TRAVEL</x:v>
      </x:c>
      <x:c r="J462" s="30" t="n">
        <x:v>334.03</x:v>
      </x:c>
    </x:row>
    <x:row r="463">
      <x:c r="F463" t="str">
        <x:v>EXP00413</x:v>
      </x:c>
      <x:c r="G463" t="n">
        <x:v>45962</x:v>
      </x:c>
      <x:c r="H463" t="str">
        <x:v>NSF-2234567</x:v>
      </x:c>
      <x:c r="I463" t="str">
        <x:v>INTL_TRAVEL</x:v>
      </x:c>
      <x:c r="J463" s="30" t="n">
        <x:v>894.95</x:v>
      </x:c>
    </x:row>
    <x:row r="464">
      <x:c r="F464" t="str">
        <x:v>EXP00414</x:v>
      </x:c>
      <x:c r="G464" t="n">
        <x:v>45962</x:v>
      </x:c>
      <x:c r="H464" t="str">
        <x:v>R01-HL145821</x:v>
      </x:c>
      <x:c r="I464" t="str">
        <x:v>INTL_TRAVEL</x:v>
      </x:c>
      <x:c r="J464" s="30" t="n">
        <x:v>771.8</x:v>
      </x:c>
    </x:row>
    <x:row r="465">
      <x:c r="F465" t="str">
        <x:v>EXP00415</x:v>
      </x:c>
      <x:c r="G465" t="n">
        <x:v>45962</x:v>
      </x:c>
      <x:c r="H465" t="str">
        <x:v>FDTN-CZ-891</x:v>
      </x:c>
      <x:c r="I465" t="str">
        <x:v>INTL_TRAVEL</x:v>
      </x:c>
      <x:c r="J465" s="30" t="n">
        <x:v>1583.43</x:v>
      </x:c>
    </x:row>
    <x:row r="466">
      <x:c r="F466" t="str">
        <x:v>EXP00416</x:v>
      </x:c>
      <x:c r="G466" t="n">
        <x:v>45992</x:v>
      </x:c>
      <x:c r="H466" t="str">
        <x:v>NSF-2234567</x:v>
      </x:c>
      <x:c r="I466" t="str">
        <x:v>INTL_TRAVEL</x:v>
      </x:c>
      <x:c r="J466" s="30" t="n">
        <x:v>0</x:v>
      </x:c>
    </x:row>
    <x:row r="467">
      <x:c r="F467" t="str">
        <x:v>EXP00417</x:v>
      </x:c>
      <x:c r="G467" t="n">
        <x:v>45992</x:v>
      </x:c>
      <x:c r="H467" t="str">
        <x:v>R01-HL145821</x:v>
      </x:c>
      <x:c r="I467" t="str">
        <x:v>INTL_TRAVEL</x:v>
      </x:c>
      <x:c r="J467" s="30" t="n">
        <x:v>0</x:v>
      </x:c>
    </x:row>
    <x:row r="468">
      <x:c r="F468" t="str">
        <x:v>EXP00418</x:v>
      </x:c>
      <x:c r="G468" t="n">
        <x:v>45992</x:v>
      </x:c>
      <x:c r="H468" t="str">
        <x:v>FDTN-CZ-891</x:v>
      </x:c>
      <x:c r="I468" t="str">
        <x:v>INTL_TRAVEL</x:v>
      </x:c>
      <x:c r="J468" s="30" t="n">
        <x:v>0</x:v>
      </x:c>
    </x:row>
    <x:row r="469">
      <x:c r="F469" t="str">
        <x:v>EXP00419</x:v>
      </x:c>
      <x:c r="G469" t="n">
        <x:v>45992</x:v>
      </x:c>
      <x:c r="H469" t="str">
        <x:v>R01-CA198765</x:v>
      </x:c>
      <x:c r="I469" t="str">
        <x:v>INTL_TRAVEL</x:v>
      </x:c>
      <x:c r="J469" s="30" t="n">
        <x:v>0</x:v>
      </x:c>
    </x:row>
    <x:row r="470">
      <x:c r="F470" t="str">
        <x:v>EXP00420</x:v>
      </x:c>
      <x:c r="G470" t="n">
        <x:v>46023</x:v>
      </x:c>
      <x:c r="H470" t="str">
        <x:v>FDTN-CZ-891</x:v>
      </x:c>
      <x:c r="I470" t="str">
        <x:v>INTL_TRAVEL</x:v>
      </x:c>
      <x:c r="J470" s="30" t="n">
        <x:v>0</x:v>
      </x:c>
    </x:row>
    <x:row r="471">
      <x:c r="F471" t="str">
        <x:v>EXP00421</x:v>
      </x:c>
      <x:c r="G471" t="n">
        <x:v>46023</x:v>
      </x:c>
      <x:c r="H471" t="str">
        <x:v>R01-CA198765</x:v>
      </x:c>
      <x:c r="I471" t="str">
        <x:v>INTL_TRAVEL</x:v>
      </x:c>
      <x:c r="J471" s="30" t="n">
        <x:v>0</x:v>
      </x:c>
    </x:row>
    <x:row r="472">
      <x:c r="F472" t="str">
        <x:v>EXP00422</x:v>
      </x:c>
      <x:c r="G472" t="n">
        <x:v>46054</x:v>
      </x:c>
      <x:c r="H472" t="str">
        <x:v>FDTN-CZ-891</x:v>
      </x:c>
      <x:c r="I472" t="str">
        <x:v>INTL_TRAVEL</x:v>
      </x:c>
      <x:c r="J472" s="30" t="n">
        <x:v>0</x:v>
      </x:c>
    </x:row>
    <x:row r="473">
      <x:c r="F473" t="str">
        <x:v>EXP00423</x:v>
      </x:c>
      <x:c r="G473" t="n">
        <x:v>46054</x:v>
      </x:c>
      <x:c r="H473" t="str">
        <x:v>R01-HL145821</x:v>
      </x:c>
      <x:c r="I473" t="str">
        <x:v>INTL_TRAVEL</x:v>
      </x:c>
      <x:c r="J473" s="30" t="n">
        <x:v>0</x:v>
      </x:c>
    </x:row>
    <x:row r="474">
      <x:c r="F474" t="str">
        <x:v>EXP00424</x:v>
      </x:c>
      <x:c r="G474" t="n">
        <x:v>46082</x:v>
      </x:c>
      <x:c r="H474" t="str">
        <x:v>NSF-2234567</x:v>
      </x:c>
      <x:c r="I474" t="str">
        <x:v>INTL_TRAVEL</x:v>
      </x:c>
      <x:c r="J474" s="30" t="n">
        <x:v>0</x:v>
      </x:c>
    </x:row>
    <x:row r="475">
      <x:c r="F475" t="str">
        <x:v>EXP00425</x:v>
      </x:c>
      <x:c r="G475" t="n">
        <x:v>46082</x:v>
      </x:c>
      <x:c r="H475" t="str">
        <x:v>DOD-W81XWH</x:v>
      </x:c>
      <x:c r="I475" t="str">
        <x:v>INTL_TRAVEL</x:v>
      </x:c>
      <x:c r="J475" s="30" t="n">
        <x:v>0</x:v>
      </x:c>
    </x:row>
    <x:row r="476">
      <x:c r="F476" t="str">
        <x:v>EXP00426</x:v>
      </x:c>
      <x:c r="G476" t="n">
        <x:v>46082</x:v>
      </x:c>
      <x:c r="H476" t="str">
        <x:v>K99-AG054321</x:v>
      </x:c>
      <x:c r="I476" t="str">
        <x:v>INTL_TRAVEL</x:v>
      </x:c>
      <x:c r="J476" s="30" t="n">
        <x:v>0</x:v>
      </x:c>
    </x:row>
    <x:row r="477">
      <x:c r="F477" t="str">
        <x:v>EXP00427</x:v>
      </x:c>
      <x:c r="G477" t="n">
        <x:v>46082</x:v>
      </x:c>
      <x:c r="H477" t="str">
        <x:v>R01-HL145821</x:v>
      </x:c>
      <x:c r="I477" t="str">
        <x:v>INTL_TRAVEL</x:v>
      </x:c>
      <x:c r="J477" s="30" t="n">
        <x:v>0</x:v>
      </x:c>
    </x:row>
    <x:row r="478">
      <x:c r="F478" t="str">
        <x:v>EXP00428</x:v>
      </x:c>
      <x:c r="G478" t="n">
        <x:v>46113</x:v>
      </x:c>
      <x:c r="H478" t="str">
        <x:v>DOD-W81XWH</x:v>
      </x:c>
      <x:c r="I478" t="str">
        <x:v>INTL_TRAVEL</x:v>
      </x:c>
      <x:c r="J478" s="30" t="n">
        <x:v>1667.49</x:v>
      </x:c>
    </x:row>
    <x:row r="479">
      <x:c r="F479" t="str">
        <x:v>EXP00429</x:v>
      </x:c>
      <x:c r="G479" t="n">
        <x:v>46113</x:v>
      </x:c>
      <x:c r="H479" t="str">
        <x:v>R01-HL145821</x:v>
      </x:c>
      <x:c r="I479" t="str">
        <x:v>INTL_TRAVEL</x:v>
      </x:c>
      <x:c r="J479" s="30" t="n">
        <x:v>566.96</x:v>
      </x:c>
    </x:row>
    <x:row r="480">
      <x:c r="F480" t="str">
        <x:v>EXP00430</x:v>
      </x:c>
      <x:c r="G480" t="n">
        <x:v>46113</x:v>
      </x:c>
      <x:c r="H480" t="str">
        <x:v>NSF-2234567</x:v>
      </x:c>
      <x:c r="I480" t="str">
        <x:v>INTL_TRAVEL</x:v>
      </x:c>
      <x:c r="J480" s="30" t="n">
        <x:v>197.1</x:v>
      </x:c>
    </x:row>
    <x:row r="481">
      <x:c r="F481" t="str">
        <x:v>EXP00431</x:v>
      </x:c>
      <x:c r="G481" t="n">
        <x:v>46113</x:v>
      </x:c>
      <x:c r="H481" t="str">
        <x:v>K99-AG054321</x:v>
      </x:c>
      <x:c r="I481" t="str">
        <x:v>INTL_TRAVEL</x:v>
      </x:c>
      <x:c r="J481" s="30" t="n">
        <x:v>1241.52</x:v>
      </x:c>
    </x:row>
    <x:row r="482">
      <x:c r="F482" t="str">
        <x:v>EXP00432</x:v>
      </x:c>
      <x:c r="G482" t="n">
        <x:v>46143</x:v>
      </x:c>
      <x:c r="H482" t="str">
        <x:v>NSF-2234567</x:v>
      </x:c>
      <x:c r="I482" t="str">
        <x:v>INTL_TRAVEL</x:v>
      </x:c>
      <x:c r="J482" s="30" t="n">
        <x:v>0</x:v>
      </x:c>
    </x:row>
    <x:row r="483">
      <x:c r="F483" t="str">
        <x:v>EXP00433</x:v>
      </x:c>
      <x:c r="G483" t="n">
        <x:v>46143</x:v>
      </x:c>
      <x:c r="H483" t="str">
        <x:v>FDTN-CZ-891</x:v>
      </x:c>
      <x:c r="I483" t="str">
        <x:v>INTL_TRAVEL</x:v>
      </x:c>
      <x:c r="J483" s="30" t="n">
        <x:v>0</x:v>
      </x:c>
    </x:row>
    <x:row r="484">
      <x:c r="F484" t="str">
        <x:v>EXP00434</x:v>
      </x:c>
      <x:c r="G484" t="n">
        <x:v>46174</x:v>
      </x:c>
      <x:c r="H484" t="str">
        <x:v>NSF-2234567</x:v>
      </x:c>
      <x:c r="I484" t="str">
        <x:v>INTL_TRAVEL</x:v>
      </x:c>
      <x:c r="J484" s="30" t="n">
        <x:v>0</x:v>
      </x:c>
    </x:row>
    <x:row r="485">
      <x:c r="F485" t="str">
        <x:v>EXP00435</x:v>
      </x:c>
      <x:c r="G485" t="n">
        <x:v>46174</x:v>
      </x:c>
      <x:c r="H485" t="str">
        <x:v>R01-CA198765</x:v>
      </x:c>
      <x:c r="I485" t="str">
        <x:v>INTL_TRAVEL</x:v>
      </x:c>
      <x:c r="J485" s="30" t="n">
        <x:v>0</x:v>
      </x:c>
    </x:row>
    <x:row r="486">
      <x:c r="F486" t="str">
        <x:v>EXP00436</x:v>
      </x:c>
      <x:c r="G486" t="n">
        <x:v>45839</x:v>
      </x:c>
      <x:c r="H486" t="str">
        <x:v>PCORI-12345</x:v>
      </x:c>
      <x:c r="I486" t="str">
        <x:v>OFFICE</x:v>
      </x:c>
      <x:c r="J486" s="30" t="n">
        <x:v>414</x:v>
      </x:c>
    </x:row>
    <x:row r="487">
      <x:c r="F487" t="str">
        <x:v>EXP00437</x:v>
      </x:c>
      <x:c r="G487" t="n">
        <x:v>45839</x:v>
      </x:c>
      <x:c r="H487" t="str">
        <x:v>FDTN-CZ-891</x:v>
      </x:c>
      <x:c r="I487" t="str">
        <x:v>OFFICE</x:v>
      </x:c>
      <x:c r="J487" s="30" t="n">
        <x:v>428.71</x:v>
      </x:c>
    </x:row>
    <x:row r="488">
      <x:c r="F488" t="str">
        <x:v>EXP00438</x:v>
      </x:c>
      <x:c r="G488" t="n">
        <x:v>45870</x:v>
      </x:c>
      <x:c r="H488" t="str">
        <x:v>FDTN-CZ-891</x:v>
      </x:c>
      <x:c r="I488" t="str">
        <x:v>OFFICE</x:v>
      </x:c>
      <x:c r="J488" s="30" t="n">
        <x:v>313.75</x:v>
      </x:c>
    </x:row>
    <x:row r="489">
      <x:c r="F489" t="str">
        <x:v>EXP00439</x:v>
      </x:c>
      <x:c r="G489" t="n">
        <x:v>45870</x:v>
      </x:c>
      <x:c r="H489" t="str">
        <x:v>DOD-W81XWH</x:v>
      </x:c>
      <x:c r="I489" t="str">
        <x:v>OFFICE</x:v>
      </x:c>
      <x:c r="J489" s="30" t="n">
        <x:v>174.5</x:v>
      </x:c>
    </x:row>
    <x:row r="490">
      <x:c r="F490" t="str">
        <x:v>EXP00440</x:v>
      </x:c>
      <x:c r="G490" t="n">
        <x:v>45870</x:v>
      </x:c>
      <x:c r="H490" t="str">
        <x:v>PCORI-12345</x:v>
      </x:c>
      <x:c r="I490" t="str">
        <x:v>OFFICE</x:v>
      </x:c>
      <x:c r="J490" s="30" t="n">
        <x:v>251.74</x:v>
      </x:c>
    </x:row>
    <x:row r="491">
      <x:c r="F491" t="str">
        <x:v>EXP00441</x:v>
      </x:c>
      <x:c r="G491" t="n">
        <x:v>45870</x:v>
      </x:c>
      <x:c r="H491" t="str">
        <x:v>NSF-2234567</x:v>
      </x:c>
      <x:c r="I491" t="str">
        <x:v>OFFICE</x:v>
      </x:c>
      <x:c r="J491" s="30" t="n">
        <x:v>91.98</x:v>
      </x:c>
    </x:row>
    <x:row r="492">
      <x:c r="F492" t="str">
        <x:v>EXP00442</x:v>
      </x:c>
      <x:c r="G492" t="n">
        <x:v>45901</x:v>
      </x:c>
      <x:c r="H492" t="str">
        <x:v>FDTN-CZ-891</x:v>
      </x:c>
      <x:c r="I492" t="str">
        <x:v>OFFICE</x:v>
      </x:c>
      <x:c r="J492" s="30" t="n">
        <x:v>168.48</x:v>
      </x:c>
    </x:row>
    <x:row r="493">
      <x:c r="F493" t="str">
        <x:v>EXP00443</x:v>
      </x:c>
      <x:c r="G493" t="n">
        <x:v>45901</x:v>
      </x:c>
      <x:c r="H493" t="str">
        <x:v>R01-HL145821</x:v>
      </x:c>
      <x:c r="I493" t="str">
        <x:v>OFFICE</x:v>
      </x:c>
      <x:c r="J493" s="30" t="n">
        <x:v>68.55</x:v>
      </x:c>
    </x:row>
    <x:row r="494">
      <x:c r="F494" t="str">
        <x:v>EXP00444</x:v>
      </x:c>
      <x:c r="G494" t="n">
        <x:v>45901</x:v>
      </x:c>
      <x:c r="H494" t="str">
        <x:v>R01-CA198765</x:v>
      </x:c>
      <x:c r="I494" t="str">
        <x:v>OFFICE</x:v>
      </x:c>
      <x:c r="J494" s="30" t="n">
        <x:v>498.1</x:v>
      </x:c>
    </x:row>
    <x:row r="495">
      <x:c r="F495" t="str">
        <x:v>EXP00445</x:v>
      </x:c>
      <x:c r="G495" t="n">
        <x:v>45901</x:v>
      </x:c>
      <x:c r="H495" t="str">
        <x:v>PCORI-12345</x:v>
      </x:c>
      <x:c r="I495" t="str">
        <x:v>OFFICE</x:v>
      </x:c>
      <x:c r="J495" s="30" t="n">
        <x:v>35.69</x:v>
      </x:c>
    </x:row>
    <x:row r="496">
      <x:c r="F496" t="str">
        <x:v>EXP00446</x:v>
      </x:c>
      <x:c r="G496" t="n">
        <x:v>45931</x:v>
      </x:c>
      <x:c r="H496" t="str">
        <x:v>PCORI-12345</x:v>
      </x:c>
      <x:c r="I496" t="str">
        <x:v>OFFICE</x:v>
      </x:c>
      <x:c r="J496" s="30" t="n">
        <x:v>455.67</x:v>
      </x:c>
    </x:row>
    <x:row r="497">
      <x:c r="F497" t="str">
        <x:v>EXP00447</x:v>
      </x:c>
      <x:c r="G497" t="n">
        <x:v>45931</x:v>
      </x:c>
      <x:c r="H497" t="str">
        <x:v>FDTN-CZ-891</x:v>
      </x:c>
      <x:c r="I497" t="str">
        <x:v>OFFICE</x:v>
      </x:c>
      <x:c r="J497" s="30" t="n">
        <x:v>211.47</x:v>
      </x:c>
    </x:row>
    <x:row r="498">
      <x:c r="F498" t="str">
        <x:v>EXP00448</x:v>
      </x:c>
      <x:c r="G498" t="n">
        <x:v>45931</x:v>
      </x:c>
      <x:c r="H498" t="str">
        <x:v>R01-HL145821</x:v>
      </x:c>
      <x:c r="I498" t="str">
        <x:v>OFFICE</x:v>
      </x:c>
      <x:c r="J498" s="30" t="n">
        <x:v>24.42</x:v>
      </x:c>
    </x:row>
    <x:row r="499">
      <x:c r="F499" t="str">
        <x:v>EXP00449</x:v>
      </x:c>
      <x:c r="G499" t="n">
        <x:v>45931</x:v>
      </x:c>
      <x:c r="H499" t="str">
        <x:v>DOD-W81XWH</x:v>
      </x:c>
      <x:c r="I499" t="str">
        <x:v>OFFICE</x:v>
      </x:c>
      <x:c r="J499" s="30" t="n">
        <x:v>110.74</x:v>
      </x:c>
    </x:row>
    <x:row r="500">
      <x:c r="F500" t="str">
        <x:v>EXP00450</x:v>
      </x:c>
      <x:c r="G500" t="n">
        <x:v>45962</x:v>
      </x:c>
      <x:c r="H500" t="str">
        <x:v>K99-AG054321</x:v>
      </x:c>
      <x:c r="I500" t="str">
        <x:v>OFFICE</x:v>
      </x:c>
      <x:c r="J500" s="30" t="n">
        <x:v>202.89</x:v>
      </x:c>
    </x:row>
    <x:row r="501">
      <x:c r="F501" t="str">
        <x:v>EXP00451</x:v>
      </x:c>
      <x:c r="G501" t="n">
        <x:v>45962</x:v>
      </x:c>
      <x:c r="H501" t="str">
        <x:v>NSF-2234567</x:v>
      </x:c>
      <x:c r="I501" t="str">
        <x:v>OFFICE</x:v>
      </x:c>
      <x:c r="J501" s="30" t="n">
        <x:v>309.03</x:v>
      </x:c>
    </x:row>
    <x:row r="502">
      <x:c r="F502" t="str">
        <x:v>EXP00452</x:v>
      </x:c>
      <x:c r="G502" t="n">
        <x:v>45962</x:v>
      </x:c>
      <x:c r="H502" t="str">
        <x:v>PCORI-12345</x:v>
      </x:c>
      <x:c r="I502" t="str">
        <x:v>OFFICE</x:v>
      </x:c>
      <x:c r="J502" s="30" t="n">
        <x:v>358.51</x:v>
      </x:c>
    </x:row>
    <x:row r="503">
      <x:c r="F503" t="str">
        <x:v>EXP00453</x:v>
      </x:c>
      <x:c r="G503" t="n">
        <x:v>45992</x:v>
      </x:c>
      <x:c r="H503" t="str">
        <x:v>FDTN-CZ-891</x:v>
      </x:c>
      <x:c r="I503" t="str">
        <x:v>OFFICE</x:v>
      </x:c>
      <x:c r="J503" s="30" t="n">
        <x:v>671.75</x:v>
      </x:c>
    </x:row>
    <x:row r="504">
      <x:c r="F504" t="str">
        <x:v>EXP00454</x:v>
      </x:c>
      <x:c r="G504" t="n">
        <x:v>45992</x:v>
      </x:c>
      <x:c r="H504" t="str">
        <x:v>DOD-W81XWH</x:v>
      </x:c>
      <x:c r="I504" t="str">
        <x:v>OFFICE</x:v>
      </x:c>
      <x:c r="J504" s="30" t="n">
        <x:v>106.02</x:v>
      </x:c>
    </x:row>
    <x:row r="505">
      <x:c r="F505" t="str">
        <x:v>EXP00455</x:v>
      </x:c>
      <x:c r="G505" t="n">
        <x:v>46023</x:v>
      </x:c>
      <x:c r="H505" t="str">
        <x:v>K99-AG054321</x:v>
      </x:c>
      <x:c r="I505" t="str">
        <x:v>OFFICE</x:v>
      </x:c>
      <x:c r="J505" s="30" t="n">
        <x:v>314.14</x:v>
      </x:c>
    </x:row>
    <x:row r="506">
      <x:c r="F506" t="str">
        <x:v>EXP00456</x:v>
      </x:c>
      <x:c r="G506" t="n">
        <x:v>46023</x:v>
      </x:c>
      <x:c r="H506" t="str">
        <x:v>DOD-W81XWH</x:v>
      </x:c>
      <x:c r="I506" t="str">
        <x:v>OFFICE</x:v>
      </x:c>
      <x:c r="J506" s="30" t="n">
        <x:v>23.78</x:v>
      </x:c>
    </x:row>
    <x:row r="507">
      <x:c r="F507" t="str">
        <x:v>EXP00457</x:v>
      </x:c>
      <x:c r="G507" t="n">
        <x:v>46023</x:v>
      </x:c>
      <x:c r="H507" t="str">
        <x:v>FDTN-CZ-891</x:v>
      </x:c>
      <x:c r="I507" t="str">
        <x:v>OFFICE</x:v>
      </x:c>
      <x:c r="J507" s="30" t="n">
        <x:v>364.31</x:v>
      </x:c>
    </x:row>
    <x:row r="508">
      <x:c r="F508" t="str">
        <x:v>EXP00458</x:v>
      </x:c>
      <x:c r="G508" t="n">
        <x:v>46023</x:v>
      </x:c>
      <x:c r="H508" t="str">
        <x:v>PCORI-12345</x:v>
      </x:c>
      <x:c r="I508" t="str">
        <x:v>OFFICE</x:v>
      </x:c>
      <x:c r="J508" s="30" t="n">
        <x:v>66.71</x:v>
      </x:c>
    </x:row>
    <x:row r="509">
      <x:c r="F509" t="str">
        <x:v>EXP00459</x:v>
      </x:c>
      <x:c r="G509" t="n">
        <x:v>46054</x:v>
      </x:c>
      <x:c r="H509" t="str">
        <x:v>K99-AG054321</x:v>
      </x:c>
      <x:c r="I509" t="str">
        <x:v>OFFICE</x:v>
      </x:c>
      <x:c r="J509" s="30" t="n">
        <x:v>292.48</x:v>
      </x:c>
    </x:row>
    <x:row r="510">
      <x:c r="F510" t="str">
        <x:v>EXP00460</x:v>
      </x:c>
      <x:c r="G510" t="n">
        <x:v>46054</x:v>
      </x:c>
      <x:c r="H510" t="str">
        <x:v>NSF-2234567</x:v>
      </x:c>
      <x:c r="I510" t="str">
        <x:v>OFFICE</x:v>
      </x:c>
      <x:c r="J510" s="30" t="n">
        <x:v>345.73</x:v>
      </x:c>
    </x:row>
    <x:row r="511">
      <x:c r="F511" t="str">
        <x:v>EXP00461</x:v>
      </x:c>
      <x:c r="G511" t="n">
        <x:v>46054</x:v>
      </x:c>
      <x:c r="H511" t="str">
        <x:v>FDTN-CZ-891</x:v>
      </x:c>
      <x:c r="I511" t="str">
        <x:v>OFFICE</x:v>
      </x:c>
      <x:c r="J511" s="30" t="n">
        <x:v>183.1</x:v>
      </x:c>
    </x:row>
    <x:row r="512">
      <x:c r="F512" t="str">
        <x:v>EXP00462</x:v>
      </x:c>
      <x:c r="G512" t="n">
        <x:v>46082</x:v>
      </x:c>
      <x:c r="H512" t="str">
        <x:v>DOD-W81XWH</x:v>
      </x:c>
      <x:c r="I512" t="str">
        <x:v>OFFICE</x:v>
      </x:c>
      <x:c r="J512" s="30" t="n">
        <x:v>14.88</x:v>
      </x:c>
    </x:row>
    <x:row r="513">
      <x:c r="F513" t="str">
        <x:v>EXP00463</x:v>
      </x:c>
      <x:c r="G513" t="n">
        <x:v>46082</x:v>
      </x:c>
      <x:c r="H513" t="str">
        <x:v>R01-CA198765</x:v>
      </x:c>
      <x:c r="I513" t="str">
        <x:v>OFFICE</x:v>
      </x:c>
      <x:c r="J513" s="30" t="n">
        <x:v>273.24</x:v>
      </x:c>
    </x:row>
    <x:row r="514">
      <x:c r="F514" t="str">
        <x:v>EXP00464</x:v>
      </x:c>
      <x:c r="G514" t="n">
        <x:v>46082</x:v>
      </x:c>
      <x:c r="H514" t="str">
        <x:v>K99-AG054321</x:v>
      </x:c>
      <x:c r="I514" t="str">
        <x:v>OFFICE</x:v>
      </x:c>
      <x:c r="J514" s="30" t="n">
        <x:v>345.58</x:v>
      </x:c>
    </x:row>
    <x:row r="515">
      <x:c r="F515" t="str">
        <x:v>EXP00465</x:v>
      </x:c>
      <x:c r="G515" t="n">
        <x:v>46082</x:v>
      </x:c>
      <x:c r="H515" t="str">
        <x:v>NSF-2234567</x:v>
      </x:c>
      <x:c r="I515" t="str">
        <x:v>OFFICE</x:v>
      </x:c>
      <x:c r="J515" s="30" t="n">
        <x:v>168.01</x:v>
      </x:c>
    </x:row>
    <x:row r="516">
      <x:c r="F516" t="str">
        <x:v>EXP00466</x:v>
      </x:c>
      <x:c r="G516" t="n">
        <x:v>46113</x:v>
      </x:c>
      <x:c r="H516" t="str">
        <x:v>NSF-2234567</x:v>
      </x:c>
      <x:c r="I516" t="str">
        <x:v>OFFICE</x:v>
      </x:c>
      <x:c r="J516" s="30" t="n">
        <x:v>46.58</x:v>
      </x:c>
    </x:row>
    <x:row r="517">
      <x:c r="F517" t="str">
        <x:v>EXP00467</x:v>
      </x:c>
      <x:c r="G517" t="n">
        <x:v>46113</x:v>
      </x:c>
      <x:c r="H517" t="str">
        <x:v>R01-CA198765</x:v>
      </x:c>
      <x:c r="I517" t="str">
        <x:v>OFFICE</x:v>
      </x:c>
      <x:c r="J517" s="30" t="n">
        <x:v>813.91</x:v>
      </x:c>
    </x:row>
    <x:row r="518">
      <x:c r="F518" t="str">
        <x:v>EXP00468</x:v>
      </x:c>
      <x:c r="G518" t="n">
        <x:v>46143</x:v>
      </x:c>
      <x:c r="H518" t="str">
        <x:v>FDTN-CZ-891</x:v>
      </x:c>
      <x:c r="I518" t="str">
        <x:v>OFFICE</x:v>
      </x:c>
      <x:c r="J518" s="30" t="n">
        <x:v>161.44</x:v>
      </x:c>
    </x:row>
    <x:row r="519">
      <x:c r="F519" t="str">
        <x:v>EXP00469</x:v>
      </x:c>
      <x:c r="G519" t="n">
        <x:v>46143</x:v>
      </x:c>
      <x:c r="H519" t="str">
        <x:v>DOD-W81XWH</x:v>
      </x:c>
      <x:c r="I519" t="str">
        <x:v>OFFICE</x:v>
      </x:c>
      <x:c r="J519" s="30" t="n">
        <x:v>182.87</x:v>
      </x:c>
    </x:row>
    <x:row r="520">
      <x:c r="F520" t="str">
        <x:v>EXP00470</x:v>
      </x:c>
      <x:c r="G520" t="n">
        <x:v>46143</x:v>
      </x:c>
      <x:c r="H520" t="str">
        <x:v>R01-HL145821</x:v>
      </x:c>
      <x:c r="I520" t="str">
        <x:v>OFFICE</x:v>
      </x:c>
      <x:c r="J520" s="30" t="n">
        <x:v>183.36</x:v>
      </x:c>
    </x:row>
    <x:row r="521">
      <x:c r="F521" t="str">
        <x:v>EXP00471</x:v>
      </x:c>
      <x:c r="G521" t="n">
        <x:v>46143</x:v>
      </x:c>
      <x:c r="H521" t="str">
        <x:v>R01-CA198765</x:v>
      </x:c>
      <x:c r="I521" t="str">
        <x:v>OFFICE</x:v>
      </x:c>
      <x:c r="J521" s="30" t="n">
        <x:v>233.02</x:v>
      </x:c>
    </x:row>
    <x:row r="522">
      <x:c r="F522" t="str">
        <x:v>EXP00472</x:v>
      </x:c>
      <x:c r="G522" t="n">
        <x:v>46174</x:v>
      </x:c>
      <x:c r="H522" t="str">
        <x:v>PCORI-12345</x:v>
      </x:c>
      <x:c r="I522" t="str">
        <x:v>OFFICE</x:v>
      </x:c>
      <x:c r="J522" s="30" t="n">
        <x:v>213.39</x:v>
      </x:c>
    </x:row>
    <x:row r="523">
      <x:c r="F523" t="str">
        <x:v>EXP00473</x:v>
      </x:c>
      <x:c r="G523" t="n">
        <x:v>46174</x:v>
      </x:c>
      <x:c r="H523" t="str">
        <x:v>NSF-2234567</x:v>
      </x:c>
      <x:c r="I523" t="str">
        <x:v>OFFICE</x:v>
      </x:c>
      <x:c r="J523" s="30" t="n">
        <x:v>624.43</x:v>
      </x:c>
    </x:row>
    <x:row r="524">
      <x:c r="F524" t="str">
        <x:v>EXP00474</x:v>
      </x:c>
      <x:c r="G524" t="n">
        <x:v>45839</x:v>
      </x:c>
      <x:c r="H524" t="str">
        <x:v>DOD-W81XWH</x:v>
      </x:c>
      <x:c r="I524" t="str">
        <x:v>PHONE</x:v>
      </x:c>
      <x:c r="J524" s="30" t="n">
        <x:v>247.91</x:v>
      </x:c>
    </x:row>
    <x:row r="525">
      <x:c r="F525" t="str">
        <x:v>EXP00475</x:v>
      </x:c>
      <x:c r="G525" t="n">
        <x:v>45839</x:v>
      </x:c>
      <x:c r="H525" t="str">
        <x:v>FDTN-CZ-891</x:v>
      </x:c>
      <x:c r="I525" t="str">
        <x:v>PHONE</x:v>
      </x:c>
      <x:c r="J525" s="30" t="n">
        <x:v>102.02</x:v>
      </x:c>
    </x:row>
    <x:row r="526">
      <x:c r="F526" t="str">
        <x:v>EXP00476</x:v>
      </x:c>
      <x:c r="G526" t="n">
        <x:v>45870</x:v>
      </x:c>
      <x:c r="H526" t="str">
        <x:v>R01-CA198765</x:v>
      </x:c>
      <x:c r="I526" t="str">
        <x:v>PHONE</x:v>
      </x:c>
      <x:c r="J526" s="30" t="n">
        <x:v>25.52</x:v>
      </x:c>
    </x:row>
    <x:row r="527">
      <x:c r="F527" t="str">
        <x:v>EXP00477</x:v>
      </x:c>
      <x:c r="G527" t="n">
        <x:v>45870</x:v>
      </x:c>
      <x:c r="H527" t="str">
        <x:v>DOD-W81XWH</x:v>
      </x:c>
      <x:c r="I527" t="str">
        <x:v>PHONE</x:v>
      </x:c>
      <x:c r="J527" s="30" t="n">
        <x:v>13.16</x:v>
      </x:c>
    </x:row>
    <x:row r="528">
      <x:c r="F528" t="str">
        <x:v>EXP00478</x:v>
      </x:c>
      <x:c r="G528" t="n">
        <x:v>45870</x:v>
      </x:c>
      <x:c r="H528" t="str">
        <x:v>PCORI-12345</x:v>
      </x:c>
      <x:c r="I528" t="str">
        <x:v>PHONE</x:v>
      </x:c>
      <x:c r="J528" s="30" t="n">
        <x:v>264.9</x:v>
      </x:c>
    </x:row>
    <x:row r="529">
      <x:c r="F529" t="str">
        <x:v>EXP00479</x:v>
      </x:c>
      <x:c r="G529" t="n">
        <x:v>45870</x:v>
      </x:c>
      <x:c r="H529" t="str">
        <x:v>FDTN-CZ-891</x:v>
      </x:c>
      <x:c r="I529" t="str">
        <x:v>PHONE</x:v>
      </x:c>
      <x:c r="J529" s="30" t="n">
        <x:v>31</x:v>
      </x:c>
    </x:row>
    <x:row r="530">
      <x:c r="F530" t="str">
        <x:v>EXP00480</x:v>
      </x:c>
      <x:c r="G530" t="n">
        <x:v>45901</x:v>
      </x:c>
      <x:c r="H530" t="str">
        <x:v>R01-HL145821</x:v>
      </x:c>
      <x:c r="I530" t="str">
        <x:v>PHONE</x:v>
      </x:c>
      <x:c r="J530" s="30" t="n">
        <x:v>337.11</x:v>
      </x:c>
    </x:row>
    <x:row r="531">
      <x:c r="F531" t="str">
        <x:v>EXP00481</x:v>
      </x:c>
      <x:c r="G531" t="n">
        <x:v>45901</x:v>
      </x:c>
      <x:c r="H531" t="str">
        <x:v>NSF-2234567</x:v>
      </x:c>
      <x:c r="I531" t="str">
        <x:v>PHONE</x:v>
      </x:c>
      <x:c r="J531" s="30" t="n">
        <x:v>31.27</x:v>
      </x:c>
    </x:row>
    <x:row r="532">
      <x:c r="F532" t="str">
        <x:v>EXP00482</x:v>
      </x:c>
      <x:c r="G532" t="n">
        <x:v>45931</x:v>
      </x:c>
      <x:c r="H532" t="str">
        <x:v>PCORI-12345</x:v>
      </x:c>
      <x:c r="I532" t="str">
        <x:v>PHONE</x:v>
      </x:c>
      <x:c r="J532" s="30" t="n">
        <x:v>16.73</x:v>
      </x:c>
    </x:row>
    <x:row r="533">
      <x:c r="F533" t="str">
        <x:v>EXP00483</x:v>
      </x:c>
      <x:c r="G533" t="n">
        <x:v>45931</x:v>
      </x:c>
      <x:c r="H533" t="str">
        <x:v>R01-CA198765</x:v>
      </x:c>
      <x:c r="I533" t="str">
        <x:v>PHONE</x:v>
      </x:c>
      <x:c r="J533" s="30" t="n">
        <x:v>96.45</x:v>
      </x:c>
    </x:row>
    <x:row r="534">
      <x:c r="F534" t="str">
        <x:v>EXP00484</x:v>
      </x:c>
      <x:c r="G534" t="n">
        <x:v>45931</x:v>
      </x:c>
      <x:c r="H534" t="str">
        <x:v>R01-HL145821</x:v>
      </x:c>
      <x:c r="I534" t="str">
        <x:v>PHONE</x:v>
      </x:c>
      <x:c r="J534" s="30" t="n">
        <x:v>136.61</x:v>
      </x:c>
    </x:row>
    <x:row r="535">
      <x:c r="F535" t="str">
        <x:v>EXP00485</x:v>
      </x:c>
      <x:c r="G535" t="n">
        <x:v>45931</x:v>
      </x:c>
      <x:c r="H535" t="str">
        <x:v>FDTN-CZ-891</x:v>
      </x:c>
      <x:c r="I535" t="str">
        <x:v>PHONE</x:v>
      </x:c>
      <x:c r="J535" s="30" t="n">
        <x:v>106.93</x:v>
      </x:c>
    </x:row>
    <x:row r="536">
      <x:c r="F536" t="str">
        <x:v>EXP00486</x:v>
      </x:c>
      <x:c r="G536" t="n">
        <x:v>45962</x:v>
      </x:c>
      <x:c r="H536" t="str">
        <x:v>PCORI-12345</x:v>
      </x:c>
      <x:c r="I536" t="str">
        <x:v>PHONE</x:v>
      </x:c>
      <x:c r="J536" s="30" t="n">
        <x:v>144.61</x:v>
      </x:c>
    </x:row>
    <x:row r="537">
      <x:c r="F537" t="str">
        <x:v>EXP00487</x:v>
      </x:c>
      <x:c r="G537" t="n">
        <x:v>45962</x:v>
      </x:c>
      <x:c r="H537" t="str">
        <x:v>K99-AG054321</x:v>
      </x:c>
      <x:c r="I537" t="str">
        <x:v>PHONE</x:v>
      </x:c>
      <x:c r="J537" s="30" t="n">
        <x:v>228.82</x:v>
      </x:c>
    </x:row>
    <x:row r="538">
      <x:c r="F538" t="str">
        <x:v>EXP00488</x:v>
      </x:c>
      <x:c r="G538" t="n">
        <x:v>45992</x:v>
      </x:c>
      <x:c r="H538" t="str">
        <x:v>R01-CA198765</x:v>
      </x:c>
      <x:c r="I538" t="str">
        <x:v>PHONE</x:v>
      </x:c>
      <x:c r="J538" s="30" t="n">
        <x:v>128.71</x:v>
      </x:c>
    </x:row>
    <x:row r="539">
      <x:c r="F539" t="str">
        <x:v>EXP00489</x:v>
      </x:c>
      <x:c r="G539" t="n">
        <x:v>45992</x:v>
      </x:c>
      <x:c r="H539" t="str">
        <x:v>PCORI-12345</x:v>
      </x:c>
      <x:c r="I539" t="str">
        <x:v>PHONE</x:v>
      </x:c>
      <x:c r="J539" s="30" t="n">
        <x:v>91.42</x:v>
      </x:c>
    </x:row>
    <x:row r="540">
      <x:c r="F540" t="str">
        <x:v>EXP00490</x:v>
      </x:c>
      <x:c r="G540" t="n">
        <x:v>45992</x:v>
      </x:c>
      <x:c r="H540" t="str">
        <x:v>NSF-2234567</x:v>
      </x:c>
      <x:c r="I540" t="str">
        <x:v>PHONE</x:v>
      </x:c>
      <x:c r="J540" s="30" t="n">
        <x:v>116.32</x:v>
      </x:c>
    </x:row>
    <x:row r="541">
      <x:c r="F541" t="str">
        <x:v>EXP00491</x:v>
      </x:c>
      <x:c r="G541" t="n">
        <x:v>46023</x:v>
      </x:c>
      <x:c r="H541" t="str">
        <x:v>K99-AG054321</x:v>
      </x:c>
      <x:c r="I541" t="str">
        <x:v>PHONE</x:v>
      </x:c>
      <x:c r="J541" s="30" t="n">
        <x:v>182.2</x:v>
      </x:c>
    </x:row>
    <x:row r="542">
      <x:c r="F542" t="str">
        <x:v>EXP00492</x:v>
      </x:c>
      <x:c r="G542" t="n">
        <x:v>46023</x:v>
      </x:c>
      <x:c r="H542" t="str">
        <x:v>R01-HL145821</x:v>
      </x:c>
      <x:c r="I542" t="str">
        <x:v>PHONE</x:v>
      </x:c>
      <x:c r="J542" s="30" t="n">
        <x:v>177.82</x:v>
      </x:c>
    </x:row>
    <x:row r="543">
      <x:c r="F543" t="str">
        <x:v>EXP00493</x:v>
      </x:c>
      <x:c r="G543" t="n">
        <x:v>46054</x:v>
      </x:c>
      <x:c r="H543" t="str">
        <x:v>NSF-2234567</x:v>
      </x:c>
      <x:c r="I543" t="str">
        <x:v>PHONE</x:v>
      </x:c>
      <x:c r="J543" s="30" t="n">
        <x:v>28.76</x:v>
      </x:c>
    </x:row>
    <x:row r="544">
      <x:c r="F544" t="str">
        <x:v>EXP00494</x:v>
      </x:c>
      <x:c r="G544" t="n">
        <x:v>46054</x:v>
      </x:c>
      <x:c r="H544" t="str">
        <x:v>K99-AG054321</x:v>
      </x:c>
      <x:c r="I544" t="str">
        <x:v>PHONE</x:v>
      </x:c>
      <x:c r="J544" s="30" t="n">
        <x:v>60.09</x:v>
      </x:c>
    </x:row>
    <x:row r="545">
      <x:c r="F545" t="str">
        <x:v>EXP00495</x:v>
      </x:c>
      <x:c r="G545" t="n">
        <x:v>46054</x:v>
      </x:c>
      <x:c r="H545" t="str">
        <x:v>DOD-W81XWH</x:v>
      </x:c>
      <x:c r="I545" t="str">
        <x:v>PHONE</x:v>
      </x:c>
      <x:c r="J545" s="30" t="n">
        <x:v>287.18</x:v>
      </x:c>
    </x:row>
    <x:row r="546">
      <x:c r="F546" t="str">
        <x:v>EXP00496</x:v>
      </x:c>
      <x:c r="G546" t="n">
        <x:v>46082</x:v>
      </x:c>
      <x:c r="H546" t="str">
        <x:v>R01-HL145821</x:v>
      </x:c>
      <x:c r="I546" t="str">
        <x:v>PHONE</x:v>
      </x:c>
      <x:c r="J546" s="30" t="n">
        <x:v>257.61</x:v>
      </x:c>
    </x:row>
    <x:row r="547">
      <x:c r="F547" t="str">
        <x:v>EXP00497</x:v>
      </x:c>
      <x:c r="G547" t="n">
        <x:v>46082</x:v>
      </x:c>
      <x:c r="H547" t="str">
        <x:v>NSF-2234567</x:v>
      </x:c>
      <x:c r="I547" t="str">
        <x:v>PHONE</x:v>
      </x:c>
      <x:c r="J547" s="30" t="n">
        <x:v>75.29</x:v>
      </x:c>
    </x:row>
    <x:row r="548">
      <x:c r="F548" t="str">
        <x:v>EXP00498</x:v>
      </x:c>
      <x:c r="G548" t="n">
        <x:v>46113</x:v>
      </x:c>
      <x:c r="H548" t="str">
        <x:v>K99-AG054321</x:v>
      </x:c>
      <x:c r="I548" t="str">
        <x:v>PHONE</x:v>
      </x:c>
      <x:c r="J548" s="30" t="n">
        <x:v>246.18</x:v>
      </x:c>
    </x:row>
    <x:row r="549">
      <x:c r="F549" t="str">
        <x:v>EXP00499</x:v>
      </x:c>
      <x:c r="G549" t="n">
        <x:v>46113</x:v>
      </x:c>
      <x:c r="H549" t="str">
        <x:v>DOD-W81XWH</x:v>
      </x:c>
      <x:c r="I549" t="str">
        <x:v>PHONE</x:v>
      </x:c>
      <x:c r="J549" s="30" t="n">
        <x:v>127.88</x:v>
      </x:c>
    </x:row>
    <x:row r="550">
      <x:c r="F550" t="str">
        <x:v>EXP00500</x:v>
      </x:c>
      <x:c r="G550" t="n">
        <x:v>46143</x:v>
      </x:c>
      <x:c r="H550" t="str">
        <x:v>K99-AG054321</x:v>
      </x:c>
      <x:c r="I550" t="str">
        <x:v>PHONE</x:v>
      </x:c>
      <x:c r="J550" s="30" t="n">
        <x:v>43.8</x:v>
      </x:c>
    </x:row>
    <x:row r="551">
      <x:c r="F551" t="str">
        <x:v>EXP00501</x:v>
      </x:c>
      <x:c r="G551" t="n">
        <x:v>46143</x:v>
      </x:c>
      <x:c r="H551" t="str">
        <x:v>FDTN-CZ-891</x:v>
      </x:c>
      <x:c r="I551" t="str">
        <x:v>PHONE</x:v>
      </x:c>
      <x:c r="J551" s="30" t="n">
        <x:v>1.6</x:v>
      </x:c>
    </x:row>
    <x:row r="552">
      <x:c r="F552" t="str">
        <x:v>EXP00502</x:v>
      </x:c>
      <x:c r="G552" t="n">
        <x:v>46143</x:v>
      </x:c>
      <x:c r="H552" t="str">
        <x:v>DOD-W81XWH</x:v>
      </x:c>
      <x:c r="I552" t="str">
        <x:v>PHONE</x:v>
      </x:c>
      <x:c r="J552" s="30" t="n">
        <x:v>131.54</x:v>
      </x:c>
    </x:row>
    <x:row r="553">
      <x:c r="F553" t="str">
        <x:v>EXP00503</x:v>
      </x:c>
      <x:c r="G553" t="n">
        <x:v>46143</x:v>
      </x:c>
      <x:c r="H553" t="str">
        <x:v>NSF-2234567</x:v>
      </x:c>
      <x:c r="I553" t="str">
        <x:v>PHONE</x:v>
      </x:c>
      <x:c r="J553" s="30" t="n">
        <x:v>151.93</x:v>
      </x:c>
    </x:row>
    <x:row r="554">
      <x:c r="F554" t="str">
        <x:v>EXP00504</x:v>
      </x:c>
      <x:c r="G554" t="n">
        <x:v>46174</x:v>
      </x:c>
      <x:c r="H554" t="str">
        <x:v>R01-HL145821</x:v>
      </x:c>
      <x:c r="I554" t="str">
        <x:v>PHONE</x:v>
      </x:c>
      <x:c r="J554" s="30" t="n">
        <x:v>306.39</x:v>
      </x:c>
    </x:row>
    <x:row r="555">
      <x:c r="F555" t="str">
        <x:v>EXP00505</x:v>
      </x:c>
      <x:c r="G555" t="n">
        <x:v>46174</x:v>
      </x:c>
      <x:c r="H555" t="str">
        <x:v>R01-CA198765</x:v>
      </x:c>
      <x:c r="I555" t="str">
        <x:v>PHONE</x:v>
      </x:c>
      <x:c r="J555" s="30" t="n">
        <x:v>63.63</x:v>
      </x:c>
    </x:row>
    <x:row r="556">
      <x:c r="F556" t="str">
        <x:v>EXP00506</x:v>
      </x:c>
      <x:c r="G556" t="n">
        <x:v>45839</x:v>
      </x:c>
      <x:c r="H556" t="str">
        <x:v>K99-AG054321</x:v>
      </x:c>
      <x:c r="I556" t="str">
        <x:v>SOFTWARE</x:v>
      </x:c>
      <x:c r="J556" s="30" t="n">
        <x:v>6676.99</x:v>
      </x:c>
    </x:row>
    <x:row r="557">
      <x:c r="F557" t="str">
        <x:v>EXP00507</x:v>
      </x:c>
      <x:c r="G557" t="n">
        <x:v>45839</x:v>
      </x:c>
      <x:c r="H557" t="str">
        <x:v>NSF-2234567</x:v>
      </x:c>
      <x:c r="I557" t="str">
        <x:v>SOFTWARE</x:v>
      </x:c>
      <x:c r="J557" s="30" t="n">
        <x:v>2596.71</x:v>
      </x:c>
    </x:row>
    <x:row r="558">
      <x:c r="F558" t="str">
        <x:v>EXP00508</x:v>
      </x:c>
      <x:c r="G558" t="n">
        <x:v>45839</x:v>
      </x:c>
      <x:c r="H558" t="str">
        <x:v>R01-HL145821</x:v>
      </x:c>
      <x:c r="I558" t="str">
        <x:v>SOFTWARE</x:v>
      </x:c>
      <x:c r="J558" s="30" t="n">
        <x:v>6399.78</x:v>
      </x:c>
    </x:row>
    <x:row r="559">
      <x:c r="F559" t="str">
        <x:v>EXP00509</x:v>
      </x:c>
      <x:c r="G559" t="n">
        <x:v>45870</x:v>
      </x:c>
      <x:c r="H559" t="str">
        <x:v>PCORI-12345</x:v>
      </x:c>
      <x:c r="I559" t="str">
        <x:v>SOFTWARE</x:v>
      </x:c>
      <x:c r="J559" s="30" t="n">
        <x:v>0</x:v>
      </x:c>
    </x:row>
    <x:row r="560">
      <x:c r="F560" t="str">
        <x:v>EXP00510</x:v>
      </x:c>
      <x:c r="G560" t="n">
        <x:v>45870</x:v>
      </x:c>
      <x:c r="H560" t="str">
        <x:v>FDTN-CZ-891</x:v>
      </x:c>
      <x:c r="I560" t="str">
        <x:v>SOFTWARE</x:v>
      </x:c>
      <x:c r="J560" s="30" t="n">
        <x:v>0</x:v>
      </x:c>
    </x:row>
    <x:row r="561">
      <x:c r="F561" t="str">
        <x:v>EXP00511</x:v>
      </x:c>
      <x:c r="G561" t="n">
        <x:v>45901</x:v>
      </x:c>
      <x:c r="H561" t="str">
        <x:v>R01-HL145821</x:v>
      </x:c>
      <x:c r="I561" t="str">
        <x:v>SOFTWARE</x:v>
      </x:c>
      <x:c r="J561" s="30" t="n">
        <x:v>0</x:v>
      </x:c>
    </x:row>
    <x:row r="562">
      <x:c r="F562" t="str">
        <x:v>EXP00512</x:v>
      </x:c>
      <x:c r="G562" t="n">
        <x:v>45901</x:v>
      </x:c>
      <x:c r="H562" t="str">
        <x:v>NSF-2234567</x:v>
      </x:c>
      <x:c r="I562" t="str">
        <x:v>SOFTWARE</x:v>
      </x:c>
      <x:c r="J562" s="30" t="n">
        <x:v>0</x:v>
      </x:c>
    </x:row>
    <x:row r="563">
      <x:c r="F563" t="str">
        <x:v>EXP00513</x:v>
      </x:c>
      <x:c r="G563" t="n">
        <x:v>45901</x:v>
      </x:c>
      <x:c r="H563" t="str">
        <x:v>FDTN-CZ-891</x:v>
      </x:c>
      <x:c r="I563" t="str">
        <x:v>SOFTWARE</x:v>
      </x:c>
      <x:c r="J563" s="30" t="n">
        <x:v>0</x:v>
      </x:c>
    </x:row>
    <x:row r="564">
      <x:c r="F564" t="str">
        <x:v>EXP00514</x:v>
      </x:c>
      <x:c r="G564" t="n">
        <x:v>45931</x:v>
      </x:c>
      <x:c r="H564" t="str">
        <x:v>FDTN-CZ-891</x:v>
      </x:c>
      <x:c r="I564" t="str">
        <x:v>SOFTWARE</x:v>
      </x:c>
      <x:c r="J564" s="30" t="n">
        <x:v>0</x:v>
      </x:c>
    </x:row>
    <x:row r="565">
      <x:c r="F565" t="str">
        <x:v>EXP00515</x:v>
      </x:c>
      <x:c r="G565" t="n">
        <x:v>45931</x:v>
      </x:c>
      <x:c r="H565" t="str">
        <x:v>K99-AG054321</x:v>
      </x:c>
      <x:c r="I565" t="str">
        <x:v>SOFTWARE</x:v>
      </x:c>
      <x:c r="J565" s="30" t="n">
        <x:v>0</x:v>
      </x:c>
    </x:row>
    <x:row r="566">
      <x:c r="F566" t="str">
        <x:v>EXP00516</x:v>
      </x:c>
      <x:c r="G566" t="n">
        <x:v>45962</x:v>
      </x:c>
      <x:c r="H566" t="str">
        <x:v>PCORI-12345</x:v>
      </x:c>
      <x:c r="I566" t="str">
        <x:v>SOFTWARE</x:v>
      </x:c>
      <x:c r="J566" s="30" t="n">
        <x:v>0</x:v>
      </x:c>
    </x:row>
    <x:row r="567">
      <x:c r="F567" t="str">
        <x:v>EXP00517</x:v>
      </x:c>
      <x:c r="G567" t="n">
        <x:v>45962</x:v>
      </x:c>
      <x:c r="H567" t="str">
        <x:v>DOD-W81XWH</x:v>
      </x:c>
      <x:c r="I567" t="str">
        <x:v>SOFTWARE</x:v>
      </x:c>
      <x:c r="J567" s="30" t="n">
        <x:v>0</x:v>
      </x:c>
    </x:row>
    <x:row r="568">
      <x:c r="F568" t="str">
        <x:v>EXP00518</x:v>
      </x:c>
      <x:c r="G568" t="n">
        <x:v>45962</x:v>
      </x:c>
      <x:c r="H568" t="str">
        <x:v>FDTN-CZ-891</x:v>
      </x:c>
      <x:c r="I568" t="str">
        <x:v>SOFTWARE</x:v>
      </x:c>
      <x:c r="J568" s="30" t="n">
        <x:v>0</x:v>
      </x:c>
    </x:row>
    <x:row r="569">
      <x:c r="F569" t="str">
        <x:v>EXP00519</x:v>
      </x:c>
      <x:c r="G569" t="n">
        <x:v>45992</x:v>
      </x:c>
      <x:c r="H569" t="str">
        <x:v>DOD-W81XWH</x:v>
      </x:c>
      <x:c r="I569" t="str">
        <x:v>SOFTWARE</x:v>
      </x:c>
      <x:c r="J569" s="30" t="n">
        <x:v>0</x:v>
      </x:c>
    </x:row>
    <x:row r="570">
      <x:c r="F570" t="str">
        <x:v>EXP00520</x:v>
      </x:c>
      <x:c r="G570" t="n">
        <x:v>45992</x:v>
      </x:c>
      <x:c r="H570" t="str">
        <x:v>R01-HL145821</x:v>
      </x:c>
      <x:c r="I570" t="str">
        <x:v>SOFTWARE</x:v>
      </x:c>
      <x:c r="J570" s="30" t="n">
        <x:v>0</x:v>
      </x:c>
    </x:row>
    <x:row r="571">
      <x:c r="F571" t="str">
        <x:v>EXP00521</x:v>
      </x:c>
      <x:c r="G571" t="n">
        <x:v>45992</x:v>
      </x:c>
      <x:c r="H571" t="str">
        <x:v>K99-AG054321</x:v>
      </x:c>
      <x:c r="I571" t="str">
        <x:v>SOFTWARE</x:v>
      </x:c>
      <x:c r="J571" s="30" t="n">
        <x:v>0</x:v>
      </x:c>
    </x:row>
    <x:row r="572">
      <x:c r="F572" t="str">
        <x:v>EXP00522</x:v>
      </x:c>
      <x:c r="G572" t="n">
        <x:v>46023</x:v>
      </x:c>
      <x:c r="H572" t="str">
        <x:v>DOD-W81XWH</x:v>
      </x:c>
      <x:c r="I572" t="str">
        <x:v>SOFTWARE</x:v>
      </x:c>
      <x:c r="J572" s="30" t="n">
        <x:v>0</x:v>
      </x:c>
    </x:row>
    <x:row r="573">
      <x:c r="F573" t="str">
        <x:v>EXP00523</x:v>
      </x:c>
      <x:c r="G573" t="n">
        <x:v>46023</x:v>
      </x:c>
      <x:c r="H573" t="str">
        <x:v>PCORI-12345</x:v>
      </x:c>
      <x:c r="I573" t="str">
        <x:v>SOFTWARE</x:v>
      </x:c>
      <x:c r="J573" s="30" t="n">
        <x:v>0</x:v>
      </x:c>
    </x:row>
    <x:row r="574">
      <x:c r="F574" t="str">
        <x:v>EXP00524</x:v>
      </x:c>
      <x:c r="G574" t="n">
        <x:v>46023</x:v>
      </x:c>
      <x:c r="H574" t="str">
        <x:v>FDTN-CZ-891</x:v>
      </x:c>
      <x:c r="I574" t="str">
        <x:v>SOFTWARE</x:v>
      </x:c>
      <x:c r="J574" s="30" t="n">
        <x:v>0</x:v>
      </x:c>
    </x:row>
    <x:row r="575">
      <x:c r="F575" t="str">
        <x:v>EXP00525</x:v>
      </x:c>
      <x:c r="G575" t="n">
        <x:v>46054</x:v>
      </x:c>
      <x:c r="H575" t="str">
        <x:v>NSF-2234567</x:v>
      </x:c>
      <x:c r="I575" t="str">
        <x:v>SOFTWARE</x:v>
      </x:c>
      <x:c r="J575" s="30" t="n">
        <x:v>0</x:v>
      </x:c>
    </x:row>
    <x:row r="576">
      <x:c r="F576" t="str">
        <x:v>EXP00526</x:v>
      </x:c>
      <x:c r="G576" t="n">
        <x:v>46054</x:v>
      </x:c>
      <x:c r="H576" t="str">
        <x:v>R01-HL145821</x:v>
      </x:c>
      <x:c r="I576" t="str">
        <x:v>SOFTWARE</x:v>
      </x:c>
      <x:c r="J576" s="30" t="n">
        <x:v>0</x:v>
      </x:c>
    </x:row>
    <x:row r="577">
      <x:c r="F577" t="str">
        <x:v>EXP00527</x:v>
      </x:c>
      <x:c r="G577" t="n">
        <x:v>46082</x:v>
      </x:c>
      <x:c r="H577" t="str">
        <x:v>K99-AG054321</x:v>
      </x:c>
      <x:c r="I577" t="str">
        <x:v>SOFTWARE</x:v>
      </x:c>
      <x:c r="J577" s="30" t="n">
        <x:v>0</x:v>
      </x:c>
    </x:row>
    <x:row r="578">
      <x:c r="F578" t="str">
        <x:v>EXP00528</x:v>
      </x:c>
      <x:c r="G578" t="n">
        <x:v>46082</x:v>
      </x:c>
      <x:c r="H578" t="str">
        <x:v>R01-CA198765</x:v>
      </x:c>
      <x:c r="I578" t="str">
        <x:v>SOFTWARE</x:v>
      </x:c>
      <x:c r="J578" s="30" t="n">
        <x:v>0</x:v>
      </x:c>
    </x:row>
    <x:row r="579">
      <x:c r="F579" t="str">
        <x:v>EXP00529</x:v>
      </x:c>
      <x:c r="G579" t="n">
        <x:v>46082</x:v>
      </x:c>
      <x:c r="H579" t="str">
        <x:v>PCORI-12345</x:v>
      </x:c>
      <x:c r="I579" t="str">
        <x:v>SOFTWARE</x:v>
      </x:c>
      <x:c r="J579" s="30" t="n">
        <x:v>0</x:v>
      </x:c>
    </x:row>
    <x:row r="580">
      <x:c r="F580" t="str">
        <x:v>EXP00530</x:v>
      </x:c>
      <x:c r="G580" t="n">
        <x:v>46113</x:v>
      </x:c>
      <x:c r="H580" t="str">
        <x:v>FDTN-CZ-891</x:v>
      </x:c>
      <x:c r="I580" t="str">
        <x:v>SOFTWARE</x:v>
      </x:c>
      <x:c r="J580" s="30" t="n">
        <x:v>0</x:v>
      </x:c>
    </x:row>
    <x:row r="581">
      <x:c r="F581" t="str">
        <x:v>EXP00531</x:v>
      </x:c>
      <x:c r="G581" t="n">
        <x:v>46113</x:v>
      </x:c>
      <x:c r="H581" t="str">
        <x:v>K99-AG054321</x:v>
      </x:c>
      <x:c r="I581" t="str">
        <x:v>SOFTWARE</x:v>
      </x:c>
      <x:c r="J581" s="30" t="n">
        <x:v>0</x:v>
      </x:c>
    </x:row>
    <x:row r="582">
      <x:c r="F582" t="str">
        <x:v>EXP00532</x:v>
      </x:c>
      <x:c r="G582" t="n">
        <x:v>46113</x:v>
      </x:c>
      <x:c r="H582" t="str">
        <x:v>R01-CA198765</x:v>
      </x:c>
      <x:c r="I582" t="str">
        <x:v>SOFTWARE</x:v>
      </x:c>
      <x:c r="J582" s="30" t="n">
        <x:v>0</x:v>
      </x:c>
    </x:row>
    <x:row r="583">
      <x:c r="F583" t="str">
        <x:v>EXP00533</x:v>
      </x:c>
      <x:c r="G583" t="n">
        <x:v>46143</x:v>
      </x:c>
      <x:c r="H583" t="str">
        <x:v>K99-AG054321</x:v>
      </x:c>
      <x:c r="I583" t="str">
        <x:v>SOFTWARE</x:v>
      </x:c>
      <x:c r="J583" s="30" t="n">
        <x:v>0</x:v>
      </x:c>
    </x:row>
    <x:row r="584">
      <x:c r="F584" t="str">
        <x:v>EXP00534</x:v>
      </x:c>
      <x:c r="G584" t="n">
        <x:v>46143</x:v>
      </x:c>
      <x:c r="H584" t="str">
        <x:v>PCORI-12345</x:v>
      </x:c>
      <x:c r="I584" t="str">
        <x:v>SOFTWARE</x:v>
      </x:c>
      <x:c r="J584" s="30" t="n">
        <x:v>0</x:v>
      </x:c>
    </x:row>
    <x:row r="585">
      <x:c r="F585" t="str">
        <x:v>EXP00535</x:v>
      </x:c>
      <x:c r="G585" t="n">
        <x:v>46143</x:v>
      </x:c>
      <x:c r="H585" t="str">
        <x:v>NSF-2234567</x:v>
      </x:c>
      <x:c r="I585" t="str">
        <x:v>SOFTWARE</x:v>
      </x:c>
      <x:c r="J585" s="30" t="n">
        <x:v>0</x:v>
      </x:c>
    </x:row>
    <x:row r="586">
      <x:c r="F586" t="str">
        <x:v>EXP00536</x:v>
      </x:c>
      <x:c r="G586" t="n">
        <x:v>46143</x:v>
      </x:c>
      <x:c r="H586" t="str">
        <x:v>DOD-W81XWH</x:v>
      </x:c>
      <x:c r="I586" t="str">
        <x:v>SOFTWARE</x:v>
      </x:c>
      <x:c r="J586" s="30" t="n">
        <x:v>0</x:v>
      </x:c>
    </x:row>
    <x:row r="587">
      <x:c r="F587" t="str">
        <x:v>EXP00537</x:v>
      </x:c>
      <x:c r="G587" t="n">
        <x:v>46174</x:v>
      </x:c>
      <x:c r="H587" t="str">
        <x:v>R01-CA198765</x:v>
      </x:c>
      <x:c r="I587" t="str">
        <x:v>SOFTWARE</x:v>
      </x:c>
      <x:c r="J587" s="30" t="n">
        <x:v>0</x:v>
      </x:c>
    </x:row>
    <x:row r="588">
      <x:c r="F588" t="str">
        <x:v>EXP00538</x:v>
      </x:c>
      <x:c r="G588" t="n">
        <x:v>46174</x:v>
      </x:c>
      <x:c r="H588" t="str">
        <x:v>PCORI-12345</x:v>
      </x:c>
      <x:c r="I588" t="str">
        <x:v>SOFTWARE</x:v>
      </x:c>
      <x:c r="J588" s="30" t="n">
        <x:v>0</x:v>
      </x:c>
    </x:row>
    <x:row r="589">
      <x:c r="F589" t="str">
        <x:v>EXP00539</x:v>
      </x:c>
      <x:c r="G589" t="n">
        <x:v>46174</x:v>
      </x:c>
      <x:c r="H589" t="str">
        <x:v>DOD-W81XWH</x:v>
      </x:c>
      <x:c r="I589" t="str">
        <x:v>SOFTWARE</x:v>
      </x:c>
      <x:c r="J589" s="30" t="n">
        <x:v>0</x:v>
      </x:c>
    </x:row>
    <x:row r="590">
      <x:c r="F590" t="str">
        <x:v>EXP00540</x:v>
      </x:c>
      <x:c r="G590" t="n">
        <x:v>45839</x:v>
      </x:c>
      <x:c r="H590" t="str">
        <x:v>K99-AG054321</x:v>
      </x:c>
      <x:c r="I590" t="str">
        <x:v>PRINTING</x:v>
      </x:c>
      <x:c r="J590" s="30" t="n">
        <x:v>26.44</x:v>
      </x:c>
    </x:row>
    <x:row r="591">
      <x:c r="F591" t="str">
        <x:v>EXP00541</x:v>
      </x:c>
      <x:c r="G591" t="n">
        <x:v>45839</x:v>
      </x:c>
      <x:c r="H591" t="str">
        <x:v>NSF-2234567</x:v>
      </x:c>
      <x:c r="I591" t="str">
        <x:v>PRINTING</x:v>
      </x:c>
      <x:c r="J591" s="30" t="n">
        <x:v>152.45</x:v>
      </x:c>
    </x:row>
    <x:row r="592">
      <x:c r="F592" t="str">
        <x:v>EXP00542</x:v>
      </x:c>
      <x:c r="G592" t="n">
        <x:v>45839</x:v>
      </x:c>
      <x:c r="H592" t="str">
        <x:v>DOD-W81XWH</x:v>
      </x:c>
      <x:c r="I592" t="str">
        <x:v>PRINTING</x:v>
      </x:c>
      <x:c r="J592" s="30" t="n">
        <x:v>34.74</x:v>
      </x:c>
    </x:row>
    <x:row r="593">
      <x:c r="F593" t="str">
        <x:v>EXP00543</x:v>
      </x:c>
      <x:c r="G593" t="n">
        <x:v>45870</x:v>
      </x:c>
      <x:c r="H593" t="str">
        <x:v>R01-HL145821</x:v>
      </x:c>
      <x:c r="I593" t="str">
        <x:v>PRINTING</x:v>
      </x:c>
      <x:c r="J593" s="30" t="n">
        <x:v>9.51</x:v>
      </x:c>
    </x:row>
    <x:row r="594">
      <x:c r="F594" t="str">
        <x:v>EXP00544</x:v>
      </x:c>
      <x:c r="G594" t="n">
        <x:v>45870</x:v>
      </x:c>
      <x:c r="H594" t="str">
        <x:v>PCORI-12345</x:v>
      </x:c>
      <x:c r="I594" t="str">
        <x:v>PRINTING</x:v>
      </x:c>
      <x:c r="J594" s="30" t="n">
        <x:v>64.92</x:v>
      </x:c>
    </x:row>
    <x:row r="595">
      <x:c r="F595" t="str">
        <x:v>EXP00545</x:v>
      </x:c>
      <x:c r="G595" t="n">
        <x:v>45870</x:v>
      </x:c>
      <x:c r="H595" t="str">
        <x:v>FDTN-CZ-891</x:v>
      </x:c>
      <x:c r="I595" t="str">
        <x:v>PRINTING</x:v>
      </x:c>
      <x:c r="J595" s="30" t="n">
        <x:v>77.93</x:v>
      </x:c>
    </x:row>
    <x:row r="596">
      <x:c r="F596" t="str">
        <x:v>EXP00546</x:v>
      </x:c>
      <x:c r="G596" t="n">
        <x:v>45870</x:v>
      </x:c>
      <x:c r="H596" t="str">
        <x:v>K99-AG054321</x:v>
      </x:c>
      <x:c r="I596" t="str">
        <x:v>PRINTING</x:v>
      </x:c>
      <x:c r="J596" s="30" t="n">
        <x:v>61.37</x:v>
      </x:c>
    </x:row>
    <x:row r="597">
      <x:c r="F597" t="str">
        <x:v>EXP00547</x:v>
      </x:c>
      <x:c r="G597" t="n">
        <x:v>45901</x:v>
      </x:c>
      <x:c r="H597" t="str">
        <x:v>R01-HL145821</x:v>
      </x:c>
      <x:c r="I597" t="str">
        <x:v>PRINTING</x:v>
      </x:c>
      <x:c r="J597" s="30" t="n">
        <x:v>96.45</x:v>
      </x:c>
    </x:row>
    <x:row r="598">
      <x:c r="F598" t="str">
        <x:v>EXP00548</x:v>
      </x:c>
      <x:c r="G598" t="n">
        <x:v>45901</x:v>
      </x:c>
      <x:c r="H598" t="str">
        <x:v>FDTN-CZ-891</x:v>
      </x:c>
      <x:c r="I598" t="str">
        <x:v>PRINTING</x:v>
      </x:c>
      <x:c r="J598" s="30" t="n">
        <x:v>61.26</x:v>
      </x:c>
    </x:row>
    <x:row r="599">
      <x:c r="F599" t="str">
        <x:v>EXP00549</x:v>
      </x:c>
      <x:c r="G599" t="n">
        <x:v>45901</x:v>
      </x:c>
      <x:c r="H599" t="str">
        <x:v>K99-AG054321</x:v>
      </x:c>
      <x:c r="I599" t="str">
        <x:v>PRINTING</x:v>
      </x:c>
      <x:c r="J599" s="30" t="n">
        <x:v>57.4</x:v>
      </x:c>
    </x:row>
    <x:row r="600">
      <x:c r="F600" t="str">
        <x:v>EXP00550</x:v>
      </x:c>
      <x:c r="G600" t="n">
        <x:v>45931</x:v>
      </x:c>
      <x:c r="H600" t="str">
        <x:v>PCORI-12345</x:v>
      </x:c>
      <x:c r="I600" t="str">
        <x:v>PRINTING</x:v>
      </x:c>
      <x:c r="J600" s="30" t="n">
        <x:v>137.72</x:v>
      </x:c>
    </x:row>
    <x:row r="601">
      <x:c r="F601" t="str">
        <x:v>EXP00551</x:v>
      </x:c>
      <x:c r="G601" t="n">
        <x:v>45931</x:v>
      </x:c>
      <x:c r="H601" t="str">
        <x:v>K99-AG054321</x:v>
      </x:c>
      <x:c r="I601" t="str">
        <x:v>PRINTING</x:v>
      </x:c>
      <x:c r="J601" s="30" t="n">
        <x:v>99.51</x:v>
      </x:c>
    </x:row>
    <x:row r="602">
      <x:c r="F602" t="str">
        <x:v>EXP00552</x:v>
      </x:c>
      <x:c r="G602" t="n">
        <x:v>45962</x:v>
      </x:c>
      <x:c r="H602" t="str">
        <x:v>K99-AG054321</x:v>
      </x:c>
      <x:c r="I602" t="str">
        <x:v>PRINTING</x:v>
      </x:c>
      <x:c r="J602" s="30" t="n">
        <x:v>45.78</x:v>
      </x:c>
    </x:row>
    <x:row r="603">
      <x:c r="F603" t="str">
        <x:v>EXP00553</x:v>
      </x:c>
      <x:c r="G603" t="n">
        <x:v>45962</x:v>
      </x:c>
      <x:c r="H603" t="str">
        <x:v>PCORI-12345</x:v>
      </x:c>
      <x:c r="I603" t="str">
        <x:v>PRINTING</x:v>
      </x:c>
      <x:c r="J603" s="30" t="n">
        <x:v>193.92</x:v>
      </x:c>
    </x:row>
    <x:row r="604">
      <x:c r="F604" t="str">
        <x:v>EXP00554</x:v>
      </x:c>
      <x:c r="G604" t="n">
        <x:v>45992</x:v>
      </x:c>
      <x:c r="H604" t="str">
        <x:v>NSF-2234567</x:v>
      </x:c>
      <x:c r="I604" t="str">
        <x:v>PRINTING</x:v>
      </x:c>
      <x:c r="J604" s="30" t="n">
        <x:v>224.44</x:v>
      </x:c>
    </x:row>
    <x:row r="605">
      <x:c r="F605" t="str">
        <x:v>EXP00555</x:v>
      </x:c>
      <x:c r="G605" t="n">
        <x:v>45992</x:v>
      </x:c>
      <x:c r="H605" t="str">
        <x:v>R01-HL145821</x:v>
      </x:c>
      <x:c r="I605" t="str">
        <x:v>PRINTING</x:v>
      </x:c>
      <x:c r="J605" s="30" t="n">
        <x:v>19.86</x:v>
      </x:c>
    </x:row>
    <x:row r="606">
      <x:c r="F606" t="str">
        <x:v>EXP00556</x:v>
      </x:c>
      <x:c r="G606" t="n">
        <x:v>46023</x:v>
      </x:c>
      <x:c r="H606" t="str">
        <x:v>K99-AG054321</x:v>
      </x:c>
      <x:c r="I606" t="str">
        <x:v>PRINTING</x:v>
      </x:c>
      <x:c r="J606" s="30" t="n">
        <x:v>46.62</x:v>
      </x:c>
    </x:row>
    <x:row r="607">
      <x:c r="F607" t="str">
        <x:v>EXP00557</x:v>
      </x:c>
      <x:c r="G607" t="n">
        <x:v>46023</x:v>
      </x:c>
      <x:c r="H607" t="str">
        <x:v>NSF-2234567</x:v>
      </x:c>
      <x:c r="I607" t="str">
        <x:v>PRINTING</x:v>
      </x:c>
      <x:c r="J607" s="30" t="n">
        <x:v>1.03</x:v>
      </x:c>
    </x:row>
    <x:row r="608">
      <x:c r="F608" t="str">
        <x:v>EXP00558</x:v>
      </x:c>
      <x:c r="G608" t="n">
        <x:v>46023</x:v>
      </x:c>
      <x:c r="H608" t="str">
        <x:v>FDTN-CZ-891</x:v>
      </x:c>
      <x:c r="I608" t="str">
        <x:v>PRINTING</x:v>
      </x:c>
      <x:c r="J608" s="30" t="n">
        <x:v>75.99</x:v>
      </x:c>
    </x:row>
    <x:row r="609">
      <x:c r="F609" t="str">
        <x:v>EXP00559</x:v>
      </x:c>
      <x:c r="G609" t="n">
        <x:v>46023</x:v>
      </x:c>
      <x:c r="H609" t="str">
        <x:v>R01-HL145821</x:v>
      </x:c>
      <x:c r="I609" t="str">
        <x:v>PRINTING</x:v>
      </x:c>
      <x:c r="J609" s="30" t="n">
        <x:v>93.84</x:v>
      </x:c>
    </x:row>
    <x:row r="610">
      <x:c r="F610" t="str">
        <x:v>EXP00560</x:v>
      </x:c>
      <x:c r="G610" t="n">
        <x:v>46054</x:v>
      </x:c>
      <x:c r="H610" t="str">
        <x:v>FDTN-CZ-891</x:v>
      </x:c>
      <x:c r="I610" t="str">
        <x:v>PRINTING</x:v>
      </x:c>
      <x:c r="J610" s="30" t="n">
        <x:v>96.24</x:v>
      </x:c>
    </x:row>
    <x:row r="611">
      <x:c r="F611" t="str">
        <x:v>EXP00561</x:v>
      </x:c>
      <x:c r="G611" t="n">
        <x:v>46054</x:v>
      </x:c>
      <x:c r="H611" t="str">
        <x:v>NSF-2234567</x:v>
      </x:c>
      <x:c r="I611" t="str">
        <x:v>PRINTING</x:v>
      </x:c>
      <x:c r="J611" s="30" t="n">
        <x:v>115.19</x:v>
      </x:c>
    </x:row>
    <x:row r="612">
      <x:c r="F612" t="str">
        <x:v>EXP00562</x:v>
      </x:c>
      <x:c r="G612" t="n">
        <x:v>46082</x:v>
      </x:c>
      <x:c r="H612" t="str">
        <x:v>PCORI-12345</x:v>
      </x:c>
      <x:c r="I612" t="str">
        <x:v>PRINTING</x:v>
      </x:c>
      <x:c r="J612" s="30" t="n">
        <x:v>81.49</x:v>
      </x:c>
    </x:row>
    <x:row r="613">
      <x:c r="F613" t="str">
        <x:v>EXP00563</x:v>
      </x:c>
      <x:c r="G613" t="n">
        <x:v>46082</x:v>
      </x:c>
      <x:c r="H613" t="str">
        <x:v>R01-CA198765</x:v>
      </x:c>
      <x:c r="I613" t="str">
        <x:v>PRINTING</x:v>
      </x:c>
      <x:c r="J613" s="30" t="n">
        <x:v>72.84</x:v>
      </x:c>
    </x:row>
    <x:row r="614">
      <x:c r="F614" t="str">
        <x:v>EXP00564</x:v>
      </x:c>
      <x:c r="G614" t="n">
        <x:v>46082</x:v>
      </x:c>
      <x:c r="H614" t="str">
        <x:v>K99-AG054321</x:v>
      </x:c>
      <x:c r="I614" t="str">
        <x:v>PRINTING</x:v>
      </x:c>
      <x:c r="J614" s="30" t="n">
        <x:v>61.01</x:v>
      </x:c>
    </x:row>
    <x:row r="615">
      <x:c r="F615" t="str">
        <x:v>EXP00565</x:v>
      </x:c>
      <x:c r="G615" t="n">
        <x:v>46082</x:v>
      </x:c>
      <x:c r="H615" t="str">
        <x:v>NSF-2234567</x:v>
      </x:c>
      <x:c r="I615" t="str">
        <x:v>PRINTING</x:v>
      </x:c>
      <x:c r="J615" s="30" t="n">
        <x:v>20.5</x:v>
      </x:c>
    </x:row>
    <x:row r="616">
      <x:c r="F616" t="str">
        <x:v>EXP00566</x:v>
      </x:c>
      <x:c r="G616" t="n">
        <x:v>46113</x:v>
      </x:c>
      <x:c r="H616" t="str">
        <x:v>R01-HL145821</x:v>
      </x:c>
      <x:c r="I616" t="str">
        <x:v>PRINTING</x:v>
      </x:c>
      <x:c r="J616" s="30" t="n">
        <x:v>115.02</x:v>
      </x:c>
    </x:row>
    <x:row r="617">
      <x:c r="F617" t="str">
        <x:v>EXP00567</x:v>
      </x:c>
      <x:c r="G617" t="n">
        <x:v>46113</x:v>
      </x:c>
      <x:c r="H617" t="str">
        <x:v>DOD-W81XWH</x:v>
      </x:c>
      <x:c r="I617" t="str">
        <x:v>PRINTING</x:v>
      </x:c>
      <x:c r="J617" s="30" t="n">
        <x:v>98.05</x:v>
      </x:c>
    </x:row>
    <x:row r="618">
      <x:c r="F618" t="str">
        <x:v>EXP00568</x:v>
      </x:c>
      <x:c r="G618" t="n">
        <x:v>46143</x:v>
      </x:c>
      <x:c r="H618" t="str">
        <x:v>DOD-W81XWH</x:v>
      </x:c>
      <x:c r="I618" t="str">
        <x:v>PRINTING</x:v>
      </x:c>
      <x:c r="J618" s="30" t="n">
        <x:v>165.83</x:v>
      </x:c>
    </x:row>
    <x:row r="619">
      <x:c r="F619" t="str">
        <x:v>EXP00569</x:v>
      </x:c>
      <x:c r="G619" t="n">
        <x:v>46143</x:v>
      </x:c>
      <x:c r="H619" t="str">
        <x:v>R01-HL145821</x:v>
      </x:c>
      <x:c r="I619" t="str">
        <x:v>PRINTING</x:v>
      </x:c>
      <x:c r="J619" s="30" t="n">
        <x:v>69.2</x:v>
      </x:c>
    </x:row>
    <x:row r="620">
      <x:c r="F620" t="str">
        <x:v>EXP00570</x:v>
      </x:c>
      <x:c r="G620" t="n">
        <x:v>46174</x:v>
      </x:c>
      <x:c r="H620" t="str">
        <x:v>DOD-W81XWH</x:v>
      </x:c>
      <x:c r="I620" t="str">
        <x:v>PRINTING</x:v>
      </x:c>
      <x:c r="J620" s="30" t="n">
        <x:v>81.25</x:v>
      </x:c>
    </x:row>
    <x:row r="621">
      <x:c r="F621" t="str">
        <x:v>EXP00571</x:v>
      </x:c>
      <x:c r="G621" t="n">
        <x:v>46174</x:v>
      </x:c>
      <x:c r="H621" t="str">
        <x:v>FDTN-CZ-891</x:v>
      </x:c>
      <x:c r="I621" t="str">
        <x:v>PRINTING</x:v>
      </x:c>
      <x:c r="J621" s="30" t="n">
        <x:v>8.9</x:v>
      </x:c>
    </x:row>
    <x:row r="622">
      <x:c r="F622" t="str">
        <x:v>EXP00572</x:v>
      </x:c>
      <x:c r="G622" t="n">
        <x:v>46174</x:v>
      </x:c>
      <x:c r="H622" t="str">
        <x:v>NSF-2234567</x:v>
      </x:c>
      <x:c r="I622" t="str">
        <x:v>PRINTING</x:v>
      </x:c>
      <x:c r="J622" s="30" t="n">
        <x:v>121.07</x:v>
      </x:c>
    </x:row>
    <x:row r="623">
      <x:c r="F623" t="str">
        <x:v>EXP00573</x:v>
      </x:c>
      <x:c r="G623" t="n">
        <x:v>46174</x:v>
      </x:c>
      <x:c r="H623" t="str">
        <x:v>K99-AG054321</x:v>
      </x:c>
      <x:c r="I623" t="str">
        <x:v>PRINTING</x:v>
      </x:c>
      <x:c r="J623" s="30" t="n">
        <x:v>24.08</x:v>
      </x:c>
    </x:row>
    <x:row r="624">
      <x:c r="F624" t="str">
        <x:v>EXP00574</x:v>
      </x:c>
      <x:c r="G624" t="n">
        <x:v>45839</x:v>
      </x:c>
      <x:c r="H624" t="str">
        <x:v>NSF-2234567</x:v>
      </x:c>
      <x:c r="I624" t="str">
        <x:v>PERSONNEL</x:v>
      </x:c>
      <x:c r="J624" s="30" t="n">
        <x:v>39908.01</x:v>
      </x:c>
    </x:row>
    <x:row r="625">
      <x:c r="F625" t="str">
        <x:v>EXP00575</x:v>
      </x:c>
      <x:c r="G625" t="n">
        <x:v>45839</x:v>
      </x:c>
      <x:c r="H625" t="str">
        <x:v>DOD-W81XWH</x:v>
      </x:c>
      <x:c r="I625" t="str">
        <x:v>PERSONNEL</x:v>
      </x:c>
      <x:c r="J625" s="30" t="n">
        <x:v>15208.4</x:v>
      </x:c>
    </x:row>
    <x:row r="626">
      <x:c r="F626" t="str">
        <x:v>EXP00576</x:v>
      </x:c>
      <x:c r="G626" t="n">
        <x:v>45839</x:v>
      </x:c>
      <x:c r="H626" t="str">
        <x:v>FDTN-CZ-891</x:v>
      </x:c>
      <x:c r="I626" t="str">
        <x:v>PERSONNEL</x:v>
      </x:c>
      <x:c r="J626" s="30" t="n">
        <x:v>29883.94</x:v>
      </x:c>
    </x:row>
    <x:row r="627">
      <x:c r="F627" t="str">
        <x:v>EXP00577</x:v>
      </x:c>
      <x:c r="G627" t="n">
        <x:v>45839</x:v>
      </x:c>
      <x:c r="H627" t="str">
        <x:v>PCORI-12345</x:v>
      </x:c>
      <x:c r="I627" t="str">
        <x:v>PERSONNEL</x:v>
      </x:c>
      <x:c r="J627" s="30" t="n">
        <x:v>18024.86</x:v>
      </x:c>
    </x:row>
    <x:row r="628">
      <x:c r="F628" t="str">
        <x:v>EXP00578</x:v>
      </x:c>
      <x:c r="G628" t="n">
        <x:v>45870</x:v>
      </x:c>
      <x:c r="H628" t="str">
        <x:v>R01-CA198765</x:v>
      </x:c>
      <x:c r="I628" t="str">
        <x:v>PERSONNEL</x:v>
      </x:c>
      <x:c r="J628" s="30" t="n">
        <x:v>70088.99</x:v>
      </x:c>
    </x:row>
    <x:row r="629">
      <x:c r="F629" t="str">
        <x:v>EXP00579</x:v>
      </x:c>
      <x:c r="G629" t="n">
        <x:v>45870</x:v>
      </x:c>
      <x:c r="H629" t="str">
        <x:v>R01-HL145821</x:v>
      </x:c>
      <x:c r="I629" t="str">
        <x:v>PERSONNEL</x:v>
      </x:c>
      <x:c r="J629" s="30" t="n">
        <x:v>34025.42</x:v>
      </x:c>
    </x:row>
    <x:row r="630">
      <x:c r="F630" t="str">
        <x:v>EXP00580</x:v>
      </x:c>
      <x:c r="G630" t="n">
        <x:v>45901</x:v>
      </x:c>
      <x:c r="H630" t="str">
        <x:v>DOD-W81XWH</x:v>
      </x:c>
      <x:c r="I630" t="str">
        <x:v>PERSONNEL</x:v>
      </x:c>
      <x:c r="J630" s="30" t="n">
        <x:v>47260.47</x:v>
      </x:c>
    </x:row>
    <x:row r="631">
      <x:c r="F631" t="str">
        <x:v>EXP00581</x:v>
      </x:c>
      <x:c r="G631" t="n">
        <x:v>45901</x:v>
      </x:c>
      <x:c r="H631" t="str">
        <x:v>PCORI-12345</x:v>
      </x:c>
      <x:c r="I631" t="str">
        <x:v>PERSONNEL</x:v>
      </x:c>
      <x:c r="J631" s="30" t="n">
        <x:v>48936.5</x:v>
      </x:c>
    </x:row>
    <x:row r="632">
      <x:c r="F632" t="str">
        <x:v>EXP00582</x:v>
      </x:c>
      <x:c r="G632" t="n">
        <x:v>45931</x:v>
      </x:c>
      <x:c r="H632" t="str">
        <x:v>R01-CA198765</x:v>
      </x:c>
      <x:c r="I632" t="str">
        <x:v>PERSONNEL</x:v>
      </x:c>
      <x:c r="J632" s="30" t="n">
        <x:v>37744.39</x:v>
      </x:c>
    </x:row>
    <x:row r="633">
      <x:c r="F633" t="str">
        <x:v>EXP00583</x:v>
      </x:c>
      <x:c r="G633" t="n">
        <x:v>45931</x:v>
      </x:c>
      <x:c r="H633" t="str">
        <x:v>PCORI-12345</x:v>
      </x:c>
      <x:c r="I633" t="str">
        <x:v>PERSONNEL</x:v>
      </x:c>
      <x:c r="J633" s="30" t="n">
        <x:v>30226.38</x:v>
      </x:c>
    </x:row>
    <x:row r="634">
      <x:c r="F634" t="str">
        <x:v>EXP00584</x:v>
      </x:c>
      <x:c r="G634" t="n">
        <x:v>45931</x:v>
      </x:c>
      <x:c r="H634" t="str">
        <x:v>R01-HL145821</x:v>
      </x:c>
      <x:c r="I634" t="str">
        <x:v>PERSONNEL</x:v>
      </x:c>
      <x:c r="J634" s="30" t="n">
        <x:v>33764.03</x:v>
      </x:c>
    </x:row>
    <x:row r="635">
      <x:c r="F635" t="str">
        <x:v>EXP00585</x:v>
      </x:c>
      <x:c r="G635" t="n">
        <x:v>45962</x:v>
      </x:c>
      <x:c r="H635" t="str">
        <x:v>DOD-W81XWH</x:v>
      </x:c>
      <x:c r="I635" t="str">
        <x:v>PERSONNEL</x:v>
      </x:c>
      <x:c r="J635" s="30" t="n">
        <x:v>23822.76</x:v>
      </x:c>
    </x:row>
    <x:row r="636">
      <x:c r="F636" t="str">
        <x:v>EXP00586</x:v>
      </x:c>
      <x:c r="G636" t="n">
        <x:v>45962</x:v>
      </x:c>
      <x:c r="H636" t="str">
        <x:v>FDTN-CZ-891</x:v>
      </x:c>
      <x:c r="I636" t="str">
        <x:v>PERSONNEL</x:v>
      </x:c>
      <x:c r="J636" s="30" t="n">
        <x:v>11862.65</x:v>
      </x:c>
    </x:row>
    <x:row r="637">
      <x:c r="F637" t="str">
        <x:v>EXP00587</x:v>
      </x:c>
      <x:c r="G637" t="n">
        <x:v>45962</x:v>
      </x:c>
      <x:c r="H637" t="str">
        <x:v>R01-CA198765</x:v>
      </x:c>
      <x:c r="I637" t="str">
        <x:v>PERSONNEL</x:v>
      </x:c>
      <x:c r="J637" s="30" t="n">
        <x:v>26010.73</x:v>
      </x:c>
    </x:row>
    <x:row r="638">
      <x:c r="F638" t="str">
        <x:v>EXP00588</x:v>
      </x:c>
      <x:c r="G638" t="n">
        <x:v>45962</x:v>
      </x:c>
      <x:c r="H638" t="str">
        <x:v>PCORI-12345</x:v>
      </x:c>
      <x:c r="I638" t="str">
        <x:v>PERSONNEL</x:v>
      </x:c>
      <x:c r="J638" s="30" t="n">
        <x:v>35326.46</x:v>
      </x:c>
    </x:row>
    <x:row r="639">
      <x:c r="F639" t="str">
        <x:v>EXP00589</x:v>
      </x:c>
      <x:c r="G639" t="n">
        <x:v>45992</x:v>
      </x:c>
      <x:c r="H639" t="str">
        <x:v>DOD-W81XWH</x:v>
      </x:c>
      <x:c r="I639" t="str">
        <x:v>PERSONNEL</x:v>
      </x:c>
      <x:c r="J639" s="30" t="n">
        <x:v>35300.5</x:v>
      </x:c>
    </x:row>
    <x:row r="640">
      <x:c r="F640" t="str">
        <x:v>EXP00590</x:v>
      </x:c>
      <x:c r="G640" t="n">
        <x:v>45992</x:v>
      </x:c>
      <x:c r="H640" t="str">
        <x:v>FDTN-CZ-891</x:v>
      </x:c>
      <x:c r="I640" t="str">
        <x:v>PERSONNEL</x:v>
      </x:c>
      <x:c r="J640" s="30" t="n">
        <x:v>66748.9</x:v>
      </x:c>
    </x:row>
    <x:row r="641">
      <x:c r="F641" t="str">
        <x:v>EXP00591</x:v>
      </x:c>
      <x:c r="G641" t="n">
        <x:v>46023</x:v>
      </x:c>
      <x:c r="H641" t="str">
        <x:v>NSF-2234567</x:v>
      </x:c>
      <x:c r="I641" t="str">
        <x:v>PERSONNEL</x:v>
      </x:c>
      <x:c r="J641" s="30" t="n">
        <x:v>33057.43</x:v>
      </x:c>
    </x:row>
    <x:row r="642">
      <x:c r="F642" t="str">
        <x:v>EXP00592</x:v>
      </x:c>
      <x:c r="G642" t="n">
        <x:v>46023</x:v>
      </x:c>
      <x:c r="H642" t="str">
        <x:v>PCORI-12345</x:v>
      </x:c>
      <x:c r="I642" t="str">
        <x:v>PERSONNEL</x:v>
      </x:c>
      <x:c r="J642" s="30" t="n">
        <x:v>44092.52</x:v>
      </x:c>
    </x:row>
    <x:row r="643">
      <x:c r="F643" t="str">
        <x:v>EXP00593</x:v>
      </x:c>
      <x:c r="G643" t="n">
        <x:v>46023</x:v>
      </x:c>
      <x:c r="H643" t="str">
        <x:v>DOD-W81XWH</x:v>
      </x:c>
      <x:c r="I643" t="str">
        <x:v>PERSONNEL</x:v>
      </x:c>
      <x:c r="J643" s="30" t="n">
        <x:v>27700.2</x:v>
      </x:c>
    </x:row>
    <x:row r="644">
      <x:c r="F644" t="str">
        <x:v>EXP00594</x:v>
      </x:c>
      <x:c r="G644" t="n">
        <x:v>46054</x:v>
      </x:c>
      <x:c r="H644" t="str">
        <x:v>K99-AG054321</x:v>
      </x:c>
      <x:c r="I644" t="str">
        <x:v>PERSONNEL</x:v>
      </x:c>
      <x:c r="J644" s="30" t="n">
        <x:v>38372.01</x:v>
      </x:c>
    </x:row>
    <x:row r="645">
      <x:c r="F645" t="str">
        <x:v>EXP00595</x:v>
      </x:c>
      <x:c r="G645" t="n">
        <x:v>46054</x:v>
      </x:c>
      <x:c r="H645" t="str">
        <x:v>PCORI-12345</x:v>
      </x:c>
      <x:c r="I645" t="str">
        <x:v>PERSONNEL</x:v>
      </x:c>
      <x:c r="J645" s="30" t="n">
        <x:v>40768.19</x:v>
      </x:c>
    </x:row>
    <x:row r="646">
      <x:c r="F646" t="str">
        <x:v>EXP00596</x:v>
      </x:c>
      <x:c r="G646" t="n">
        <x:v>46054</x:v>
      </x:c>
      <x:c r="H646" t="str">
        <x:v>DOD-W81XWH</x:v>
      </x:c>
      <x:c r="I646" t="str">
        <x:v>PERSONNEL</x:v>
      </x:c>
      <x:c r="J646" s="30" t="n">
        <x:v>26044.05</x:v>
      </x:c>
    </x:row>
    <x:row r="647">
      <x:c r="F647" t="str">
        <x:v>EXP00597</x:v>
      </x:c>
      <x:c r="G647" t="n">
        <x:v>46082</x:v>
      </x:c>
      <x:c r="H647" t="str">
        <x:v>DOD-W81XWH</x:v>
      </x:c>
      <x:c r="I647" t="str">
        <x:v>PERSONNEL</x:v>
      </x:c>
      <x:c r="J647" s="30" t="n">
        <x:v>59047.71</x:v>
      </x:c>
    </x:row>
    <x:row r="648">
      <x:c r="F648" t="str">
        <x:v>EXP00598</x:v>
      </x:c>
      <x:c r="G648" t="n">
        <x:v>46082</x:v>
      </x:c>
      <x:c r="H648" t="str">
        <x:v>R01-CA198765</x:v>
      </x:c>
      <x:c r="I648" t="str">
        <x:v>PERSONNEL</x:v>
      </x:c>
      <x:c r="J648" s="30" t="n">
        <x:v>13907.39</x:v>
      </x:c>
    </x:row>
    <x:row r="649">
      <x:c r="F649" t="str">
        <x:v>EXP00599</x:v>
      </x:c>
      <x:c r="G649" t="n">
        <x:v>46082</x:v>
      </x:c>
      <x:c r="H649" t="str">
        <x:v>R01-HL145821</x:v>
      </x:c>
      <x:c r="I649" t="str">
        <x:v>PERSONNEL</x:v>
      </x:c>
      <x:c r="J649" s="30" t="n">
        <x:v>25969.35</x:v>
      </x:c>
    </x:row>
    <x:row r="650">
      <x:c r="F650" t="str">
        <x:v>EXP00600</x:v>
      </x:c>
      <x:c r="G650" t="n">
        <x:v>46113</x:v>
      </x:c>
      <x:c r="H650" t="str">
        <x:v>PCORI-12345</x:v>
      </x:c>
      <x:c r="I650" t="str">
        <x:v>PERSONNEL</x:v>
      </x:c>
      <x:c r="J650" s="30" t="n">
        <x:v>8577.3</x:v>
      </x:c>
    </x:row>
    <x:row r="651">
      <x:c r="F651" t="str">
        <x:v>EXP00601</x:v>
      </x:c>
      <x:c r="G651" t="n">
        <x:v>46113</x:v>
      </x:c>
      <x:c r="H651" t="str">
        <x:v>DOD-W81XWH</x:v>
      </x:c>
      <x:c r="I651" t="str">
        <x:v>PERSONNEL</x:v>
      </x:c>
      <x:c r="J651" s="30" t="n">
        <x:v>66773.88</x:v>
      </x:c>
    </x:row>
    <x:row r="652">
      <x:c r="F652" t="str">
        <x:v>EXP00602</x:v>
      </x:c>
      <x:c r="G652" t="n">
        <x:v>46113</x:v>
      </x:c>
      <x:c r="H652" t="str">
        <x:v>FDTN-CZ-891</x:v>
      </x:c>
      <x:c r="I652" t="str">
        <x:v>PERSONNEL</x:v>
      </x:c>
      <x:c r="J652" s="30" t="n">
        <x:v>32214.54</x:v>
      </x:c>
    </x:row>
    <x:row r="653">
      <x:c r="F653" t="str">
        <x:v>EXP00603</x:v>
      </x:c>
      <x:c r="G653" t="n">
        <x:v>46143</x:v>
      </x:c>
      <x:c r="H653" t="str">
        <x:v>FDTN-CZ-891</x:v>
      </x:c>
      <x:c r="I653" t="str">
        <x:v>PERSONNEL</x:v>
      </x:c>
      <x:c r="J653" s="30" t="n">
        <x:v>25321.5</x:v>
      </x:c>
    </x:row>
    <x:row r="654">
      <x:c r="F654" t="str">
        <x:v>EXP00604</x:v>
      </x:c>
      <x:c r="G654" t="n">
        <x:v>46143</x:v>
      </x:c>
      <x:c r="H654" t="str">
        <x:v>R01-CA198765</x:v>
      </x:c>
      <x:c r="I654" t="str">
        <x:v>PERSONNEL</x:v>
      </x:c>
      <x:c r="J654" s="30" t="n">
        <x:v>72659.15</x:v>
      </x:c>
    </x:row>
    <x:row r="655">
      <x:c r="F655" t="str">
        <x:v>EXP00605</x:v>
      </x:c>
      <x:c r="G655" t="n">
        <x:v>46174</x:v>
      </x:c>
      <x:c r="H655" t="str">
        <x:v>DOD-W81XWH</x:v>
      </x:c>
      <x:c r="I655" t="str">
        <x:v>PERSONNEL</x:v>
      </x:c>
      <x:c r="J655" s="30" t="n">
        <x:v>27587.11</x:v>
      </x:c>
    </x:row>
    <x:row r="656">
      <x:c r="F656" t="str">
        <x:v>EXP00606</x:v>
      </x:c>
      <x:c r="G656" t="n">
        <x:v>46174</x:v>
      </x:c>
      <x:c r="H656" t="str">
        <x:v>K99-AG054321</x:v>
      </x:c>
      <x:c r="I656" t="str">
        <x:v>PERSONNEL</x:v>
      </x:c>
      <x:c r="J656" s="30" t="n">
        <x:v>27245.73</x:v>
      </x:c>
    </x:row>
    <x:row r="657">
      <x:c r="F657" t="str">
        <x:v>EXP00607</x:v>
      </x:c>
      <x:c r="G657" t="n">
        <x:v>46174</x:v>
      </x:c>
      <x:c r="H657" t="str">
        <x:v>R01-CA198765</x:v>
      </x:c>
      <x:c r="I657" t="str">
        <x:v>PERSONNEL</x:v>
      </x:c>
      <x:c r="J657" s="30" t="n">
        <x:v>46897.69</x:v>
      </x:c>
    </x:row>
    <x:row r="658">
      <x:c r="F658" t="str">
        <x:v>EXP00608</x:v>
      </x:c>
      <x:c r="G658" t="n">
        <x:v>45839</x:v>
      </x:c>
      <x:c r="H658" t="str">
        <x:v>FDTN-CZ-891</x:v>
      </x:c>
      <x:c r="I658" t="str">
        <x:v>FNA</x:v>
      </x:c>
      <x:c r="J658" s="30" t="n">
        <x:v>2030.26</x:v>
      </x:c>
    </x:row>
    <x:row r="659">
      <x:c r="F659" t="str">
        <x:v>EXP00609</x:v>
      </x:c>
      <x:c r="G659" t="n">
        <x:v>45839</x:v>
      </x:c>
      <x:c r="H659" t="str">
        <x:v>R01-HL145821</x:v>
      </x:c>
      <x:c r="I659" t="str">
        <x:v>FNA</x:v>
      </x:c>
      <x:c r="J659" s="30" t="n">
        <x:v>19054.39</x:v>
      </x:c>
    </x:row>
    <x:row r="660">
      <x:c r="F660" t="str">
        <x:v>EXP00610</x:v>
      </x:c>
      <x:c r="G660" t="n">
        <x:v>45839</x:v>
      </x:c>
      <x:c r="H660" t="str">
        <x:v>NSF-2234567</x:v>
      </x:c>
      <x:c r="I660" t="str">
        <x:v>FNA</x:v>
      </x:c>
      <x:c r="J660" s="30" t="n">
        <x:v>20646.99</x:v>
      </x:c>
    </x:row>
    <x:row r="661">
      <x:c r="F661" t="str">
        <x:v>EXP00611</x:v>
      </x:c>
      <x:c r="G661" t="n">
        <x:v>45839</x:v>
      </x:c>
      <x:c r="H661" t="str">
        <x:v>R01-HL145821</x:v>
      </x:c>
      <x:c r="I661" t="str">
        <x:v>CONTINGENCY</x:v>
      </x:c>
      <x:c r="J661" s="30" t="n">
        <x:v>241.38</x:v>
      </x:c>
    </x:row>
    <x:row r="662">
      <x:c r="F662" t="str">
        <x:v>EXP00612</x:v>
      </x:c>
      <x:c r="G662" t="n">
        <x:v>45839</x:v>
      </x:c>
      <x:c r="H662" t="str">
        <x:v>R01-CA198765</x:v>
      </x:c>
      <x:c r="I662" t="str">
        <x:v>CONTINGENCY</x:v>
      </x:c>
      <x:c r="J662" s="30" t="n">
        <x:v>184.12</x:v>
      </x:c>
    </x:row>
    <x:row r="663">
      <x:c r="F663" t="str">
        <x:v>EXP00613</x:v>
      </x:c>
      <x:c r="G663" t="n">
        <x:v>45839</x:v>
      </x:c>
      <x:c r="H663" t="str">
        <x:v>NSF-2234567</x:v>
      </x:c>
      <x:c r="I663" t="str">
        <x:v>CONTINGENCY</x:v>
      </x:c>
      <x:c r="J663" s="30" t="n">
        <x:v>281.33</x:v>
      </x:c>
    </x:row>
    <x:row r="664">
      <x:c r="F664" t="str">
        <x:v>EXP00614</x:v>
      </x:c>
      <x:c r="G664" t="n">
        <x:v>45839</x:v>
      </x:c>
      <x:c r="H664" t="str">
        <x:v>DOD-W81XWH</x:v>
      </x:c>
      <x:c r="I664" t="str">
        <x:v>CONTINGENCY</x:v>
      </x:c>
      <x:c r="J664" s="30" t="n">
        <x:v>157.81</x:v>
      </x:c>
    </x:row>
    <x:row r="665">
      <x:c r="F665" t="str">
        <x:v>EXP00615</x:v>
      </x:c>
      <x:c r="G665" t="n">
        <x:v>45870</x:v>
      </x:c>
      <x:c r="H665" t="str">
        <x:v>NSF-2234567</x:v>
      </x:c>
      <x:c r="I665" t="str">
        <x:v>FNA</x:v>
      </x:c>
      <x:c r="J665" s="30" t="n">
        <x:v>9467.69</x:v>
      </x:c>
    </x:row>
    <x:row r="666">
      <x:c r="F666" t="str">
        <x:v>EXP00616</x:v>
      </x:c>
      <x:c r="G666" t="n">
        <x:v>45870</x:v>
      </x:c>
      <x:c r="H666" t="str">
        <x:v>PCORI-12345</x:v>
      </x:c>
      <x:c r="I666" t="str">
        <x:v>FNA</x:v>
      </x:c>
      <x:c r="J666" s="30" t="n">
        <x:v>12713.47</x:v>
      </x:c>
    </x:row>
    <x:row r="667">
      <x:c r="F667" t="str">
        <x:v>EXP00617</x:v>
      </x:c>
      <x:c r="G667" t="n">
        <x:v>45870</x:v>
      </x:c>
      <x:c r="H667" t="str">
        <x:v>R01-HL145821</x:v>
      </x:c>
      <x:c r="I667" t="str">
        <x:v>FNA</x:v>
      </x:c>
      <x:c r="J667" s="30" t="n">
        <x:v>19392.67</x:v>
      </x:c>
    </x:row>
    <x:row r="668">
      <x:c r="F668" t="str">
        <x:v>EXP00618</x:v>
      </x:c>
      <x:c r="G668" t="n">
        <x:v>45870</x:v>
      </x:c>
      <x:c r="H668" t="str">
        <x:v>NSF-2234567</x:v>
      </x:c>
      <x:c r="I668" t="str">
        <x:v>CONTINGENCY</x:v>
      </x:c>
      <x:c r="J668" s="30" t="n">
        <x:v>113.09</x:v>
      </x:c>
    </x:row>
    <x:row r="669">
      <x:c r="F669" t="str">
        <x:v>EXP00619</x:v>
      </x:c>
      <x:c r="G669" t="n">
        <x:v>45870</x:v>
      </x:c>
      <x:c r="H669" t="str">
        <x:v>FDTN-CZ-891</x:v>
      </x:c>
      <x:c r="I669" t="str">
        <x:v>CONTINGENCY</x:v>
      </x:c>
      <x:c r="J669" s="30" t="n">
        <x:v>41.96</x:v>
      </x:c>
    </x:row>
    <x:row r="670">
      <x:c r="F670" t="str">
        <x:v>EXP00620</x:v>
      </x:c>
      <x:c r="G670" t="n">
        <x:v>45870</x:v>
      </x:c>
      <x:c r="H670" t="str">
        <x:v>R01-HL145821</x:v>
      </x:c>
      <x:c r="I670" t="str">
        <x:v>CONTINGENCY</x:v>
      </x:c>
      <x:c r="J670" s="30" t="n">
        <x:v>353.54</x:v>
      </x:c>
    </x:row>
    <x:row r="671">
      <x:c r="F671" t="str">
        <x:v>EXP00621</x:v>
      </x:c>
      <x:c r="G671" t="n">
        <x:v>45901</x:v>
      </x:c>
      <x:c r="H671" t="str">
        <x:v>NSF-2234567</x:v>
      </x:c>
      <x:c r="I671" t="str">
        <x:v>FNA</x:v>
      </x:c>
      <x:c r="J671" s="30" t="n">
        <x:v>8643.64</x:v>
      </x:c>
    </x:row>
    <x:row r="672">
      <x:c r="F672" t="str">
        <x:v>EXP00622</x:v>
      </x:c>
      <x:c r="G672" t="n">
        <x:v>45901</x:v>
      </x:c>
      <x:c r="H672" t="str">
        <x:v>R01-CA198765</x:v>
      </x:c>
      <x:c r="I672" t="str">
        <x:v>FNA</x:v>
      </x:c>
      <x:c r="J672" s="30" t="n">
        <x:v>7618.63</x:v>
      </x:c>
    </x:row>
    <x:row r="673">
      <x:c r="F673" t="str">
        <x:v>EXP00623</x:v>
      </x:c>
      <x:c r="G673" t="n">
        <x:v>45901</x:v>
      </x:c>
      <x:c r="H673" t="str">
        <x:v>K99-AG054321</x:v>
      </x:c>
      <x:c r="I673" t="str">
        <x:v>FNA</x:v>
      </x:c>
      <x:c r="J673" s="30" t="n">
        <x:v>23668.31</x:v>
      </x:c>
    </x:row>
    <x:row r="674">
      <x:c r="F674" t="str">
        <x:v>EXP00624</x:v>
      </x:c>
      <x:c r="G674" t="n">
        <x:v>45901</x:v>
      </x:c>
      <x:c r="H674" t="str">
        <x:v>NSF-2234567</x:v>
      </x:c>
      <x:c r="I674" t="str">
        <x:v>CONTINGENCY</x:v>
      </x:c>
      <x:c r="J674" s="30" t="n">
        <x:v>113.04</x:v>
      </x:c>
    </x:row>
    <x:row r="675">
      <x:c r="F675" t="str">
        <x:v>EXP00625</x:v>
      </x:c>
      <x:c r="G675" t="n">
        <x:v>45901</x:v>
      </x:c>
      <x:c r="H675" t="str">
        <x:v>K99-AG054321</x:v>
      </x:c>
      <x:c r="I675" t="str">
        <x:v>CONTINGENCY</x:v>
      </x:c>
      <x:c r="J675" s="30" t="n">
        <x:v>634.64</x:v>
      </x:c>
    </x:row>
    <x:row r="676">
      <x:c r="F676" t="str">
        <x:v>EXP00626</x:v>
      </x:c>
      <x:c r="G676" t="n">
        <x:v>45931</x:v>
      </x:c>
      <x:c r="H676" t="str">
        <x:v>DOD-W81XWH</x:v>
      </x:c>
      <x:c r="I676" t="str">
        <x:v>FNA</x:v>
      </x:c>
      <x:c r="J676" s="30" t="n">
        <x:v>19279.15</x:v>
      </x:c>
    </x:row>
    <x:row r="677">
      <x:c r="F677" t="str">
        <x:v>EXP00627</x:v>
      </x:c>
      <x:c r="G677" t="n">
        <x:v>45931</x:v>
      </x:c>
      <x:c r="H677" t="str">
        <x:v>FDTN-CZ-891</x:v>
      </x:c>
      <x:c r="I677" t="str">
        <x:v>FNA</x:v>
      </x:c>
      <x:c r="J677" s="30" t="n">
        <x:v>17725.22</x:v>
      </x:c>
    </x:row>
    <x:row r="678">
      <x:c r="F678" t="str">
        <x:v>EXP00628</x:v>
      </x:c>
      <x:c r="G678" t="n">
        <x:v>45931</x:v>
      </x:c>
      <x:c r="H678" t="str">
        <x:v>FDTN-CZ-891</x:v>
      </x:c>
      <x:c r="I678" t="str">
        <x:v>CONTINGENCY</x:v>
      </x:c>
      <x:c r="J678" s="30" t="n">
        <x:v>123.16</x:v>
      </x:c>
    </x:row>
    <x:row r="679">
      <x:c r="F679" t="str">
        <x:v>EXP00629</x:v>
      </x:c>
      <x:c r="G679" t="n">
        <x:v>45931</x:v>
      </x:c>
      <x:c r="H679" t="str">
        <x:v>K99-AG054321</x:v>
      </x:c>
      <x:c r="I679" t="str">
        <x:v>CONTINGENCY</x:v>
      </x:c>
      <x:c r="J679" s="30" t="n">
        <x:v>403.28</x:v>
      </x:c>
    </x:row>
    <x:row r="680">
      <x:c r="F680" t="str">
        <x:v>EXP00630</x:v>
      </x:c>
      <x:c r="G680" t="n">
        <x:v>45962</x:v>
      </x:c>
      <x:c r="H680" t="str">
        <x:v>DOD-W81XWH</x:v>
      </x:c>
      <x:c r="I680" t="str">
        <x:v>FNA</x:v>
      </x:c>
      <x:c r="J680" s="30" t="n">
        <x:v>15690.38</x:v>
      </x:c>
    </x:row>
    <x:row r="681">
      <x:c r="F681" t="str">
        <x:v>EXP00631</x:v>
      </x:c>
      <x:c r="G681" t="n">
        <x:v>45962</x:v>
      </x:c>
      <x:c r="H681" t="str">
        <x:v>R01-HL145821</x:v>
      </x:c>
      <x:c r="I681" t="str">
        <x:v>FNA</x:v>
      </x:c>
      <x:c r="J681" s="30" t="n">
        <x:v>15277.06</x:v>
      </x:c>
    </x:row>
    <x:row r="682">
      <x:c r="F682" t="str">
        <x:v>EXP00632</x:v>
      </x:c>
      <x:c r="G682" t="n">
        <x:v>45962</x:v>
      </x:c>
      <x:c r="H682" t="str">
        <x:v>R01-CA198765</x:v>
      </x:c>
      <x:c r="I682" t="str">
        <x:v>FNA</x:v>
      </x:c>
      <x:c r="J682" s="30" t="n">
        <x:v>6127.76</x:v>
      </x:c>
    </x:row>
    <x:row r="683">
      <x:c r="F683" t="str">
        <x:v>EXP00633</x:v>
      </x:c>
      <x:c r="G683" t="n">
        <x:v>45962</x:v>
      </x:c>
      <x:c r="H683" t="str">
        <x:v>R01-CA198765</x:v>
      </x:c>
      <x:c r="I683" t="str">
        <x:v>CONTINGENCY</x:v>
      </x:c>
      <x:c r="J683" s="30" t="n">
        <x:v>80.29</x:v>
      </x:c>
    </x:row>
    <x:row r="684">
      <x:c r="F684" t="str">
        <x:v>EXP00634</x:v>
      </x:c>
      <x:c r="G684" t="n">
        <x:v>45962</x:v>
      </x:c>
      <x:c r="H684" t="str">
        <x:v>K99-AG054321</x:v>
      </x:c>
      <x:c r="I684" t="str">
        <x:v>CONTINGENCY</x:v>
      </x:c>
      <x:c r="J684" s="30" t="n">
        <x:v>148.9</x:v>
      </x:c>
    </x:row>
    <x:row r="685">
      <x:c r="F685" t="str">
        <x:v>EXP00635</x:v>
      </x:c>
      <x:c r="G685" t="n">
        <x:v>45962</x:v>
      </x:c>
      <x:c r="H685" t="str">
        <x:v>R01-HL145821</x:v>
      </x:c>
      <x:c r="I685" t="str">
        <x:v>CONTINGENCY</x:v>
      </x:c>
      <x:c r="J685" s="30" t="n">
        <x:v>97.94</x:v>
      </x:c>
    </x:row>
    <x:row r="686">
      <x:c r="F686" t="str">
        <x:v>EXP00636</x:v>
      </x:c>
      <x:c r="G686" t="n">
        <x:v>45992</x:v>
      </x:c>
      <x:c r="H686" t="str">
        <x:v>NSF-2234567</x:v>
      </x:c>
      <x:c r="I686" t="str">
        <x:v>FNA</x:v>
      </x:c>
      <x:c r="J686" s="30" t="n">
        <x:v>21912.14</x:v>
      </x:c>
    </x:row>
    <x:row r="687">
      <x:c r="F687" t="str">
        <x:v>EXP00637</x:v>
      </x:c>
      <x:c r="G687" t="n">
        <x:v>45992</x:v>
      </x:c>
      <x:c r="H687" t="str">
        <x:v>FDTN-CZ-891</x:v>
      </x:c>
      <x:c r="I687" t="str">
        <x:v>FNA</x:v>
      </x:c>
      <x:c r="J687" s="30" t="n">
        <x:v>19203.09</x:v>
      </x:c>
    </x:row>
    <x:row r="688">
      <x:c r="F688" t="str">
        <x:v>EXP00638</x:v>
      </x:c>
      <x:c r="G688" t="n">
        <x:v>45992</x:v>
      </x:c>
      <x:c r="H688" t="str">
        <x:v>R01-CA198765</x:v>
      </x:c>
      <x:c r="I688" t="str">
        <x:v>CONTINGENCY</x:v>
      </x:c>
      <x:c r="J688" s="30" t="n">
        <x:v>180.93</x:v>
      </x:c>
    </x:row>
    <x:row r="689">
      <x:c r="F689" t="str">
        <x:v>EXP00639</x:v>
      </x:c>
      <x:c r="G689" t="n">
        <x:v>45992</x:v>
      </x:c>
      <x:c r="H689" t="str">
        <x:v>K99-AG054321</x:v>
      </x:c>
      <x:c r="I689" t="str">
        <x:v>CONTINGENCY</x:v>
      </x:c>
      <x:c r="J689" s="30" t="n">
        <x:v>657.52</x:v>
      </x:c>
    </x:row>
    <x:row r="690">
      <x:c r="F690" t="str">
        <x:v>EXP00640</x:v>
      </x:c>
      <x:c r="G690" t="n">
        <x:v>46023</x:v>
      </x:c>
      <x:c r="H690" t="str">
        <x:v>R01-HL145821</x:v>
      </x:c>
      <x:c r="I690" t="str">
        <x:v>FNA</x:v>
      </x:c>
      <x:c r="J690" s="30" t="n">
        <x:v>468.99</x:v>
      </x:c>
    </x:row>
    <x:row r="691">
      <x:c r="F691" t="str">
        <x:v>EXP00641</x:v>
      </x:c>
      <x:c r="G691" t="n">
        <x:v>46023</x:v>
      </x:c>
      <x:c r="H691" t="str">
        <x:v>PCORI-12345</x:v>
      </x:c>
      <x:c r="I691" t="str">
        <x:v>FNA</x:v>
      </x:c>
      <x:c r="J691" s="30" t="n">
        <x:v>41115.02</x:v>
      </x:c>
    </x:row>
    <x:row r="692">
      <x:c r="F692" t="str">
        <x:v>EXP00642</x:v>
      </x:c>
      <x:c r="G692" t="n">
        <x:v>46023</x:v>
      </x:c>
      <x:c r="H692" t="str">
        <x:v>R01-HL145821</x:v>
      </x:c>
      <x:c r="I692" t="str">
        <x:v>CONTINGENCY</x:v>
      </x:c>
      <x:c r="J692" s="30" t="n">
        <x:v>462.24</x:v>
      </x:c>
    </x:row>
    <x:row r="693">
      <x:c r="F693" t="str">
        <x:v>EXP00643</x:v>
      </x:c>
      <x:c r="G693" t="n">
        <x:v>46023</x:v>
      </x:c>
      <x:c r="H693" t="str">
        <x:v>K99-AG054321</x:v>
      </x:c>
      <x:c r="I693" t="str">
        <x:v>CONTINGENCY</x:v>
      </x:c>
      <x:c r="J693" s="30" t="n">
        <x:v>400.05</x:v>
      </x:c>
    </x:row>
    <x:row r="694">
      <x:c r="F694" t="str">
        <x:v>EXP00644</x:v>
      </x:c>
      <x:c r="G694" t="n">
        <x:v>46054</x:v>
      </x:c>
      <x:c r="H694" t="str">
        <x:v>R01-HL145821</x:v>
      </x:c>
      <x:c r="I694" t="str">
        <x:v>FNA</x:v>
      </x:c>
      <x:c r="J694" s="30" t="n">
        <x:v>3508.74</x:v>
      </x:c>
    </x:row>
    <x:row r="695">
      <x:c r="F695" t="str">
        <x:v>EXP00645</x:v>
      </x:c>
      <x:c r="G695" t="n">
        <x:v>46054</x:v>
      </x:c>
      <x:c r="H695" t="str">
        <x:v>K99-AG054321</x:v>
      </x:c>
      <x:c r="I695" t="str">
        <x:v>FNA</x:v>
      </x:c>
      <x:c r="J695" s="30" t="n">
        <x:v>17197.04</x:v>
      </x:c>
    </x:row>
    <x:row r="696">
      <x:c r="F696" t="str">
        <x:v>EXP00646</x:v>
      </x:c>
      <x:c r="G696" t="n">
        <x:v>46054</x:v>
      </x:c>
      <x:c r="H696" t="str">
        <x:v>NSF-2234567</x:v>
      </x:c>
      <x:c r="I696" t="str">
        <x:v>FNA</x:v>
      </x:c>
      <x:c r="J696" s="30" t="n">
        <x:v>15247.71</x:v>
      </x:c>
    </x:row>
    <x:row r="697">
      <x:c r="F697" t="str">
        <x:v>EXP00647</x:v>
      </x:c>
      <x:c r="G697" t="n">
        <x:v>46054</x:v>
      </x:c>
      <x:c r="H697" t="str">
        <x:v>PCORI-12345</x:v>
      </x:c>
      <x:c r="I697" t="str">
        <x:v>FNA</x:v>
      </x:c>
      <x:c r="J697" s="30" t="n">
        <x:v>3740.68</x:v>
      </x:c>
    </x:row>
    <x:row r="698">
      <x:c r="F698" t="str">
        <x:v>EXP00648</x:v>
      </x:c>
      <x:c r="G698" t="n">
        <x:v>46054</x:v>
      </x:c>
      <x:c r="H698" t="str">
        <x:v>PCORI-12345</x:v>
      </x:c>
      <x:c r="I698" t="str">
        <x:v>CONTINGENCY</x:v>
      </x:c>
      <x:c r="J698" s="30" t="n">
        <x:v>160.26</x:v>
      </x:c>
    </x:row>
    <x:row r="699">
      <x:c r="F699" t="str">
        <x:v>EXP00649</x:v>
      </x:c>
      <x:c r="G699" t="n">
        <x:v>46054</x:v>
      </x:c>
      <x:c r="H699" t="str">
        <x:v>R01-CA198765</x:v>
      </x:c>
      <x:c r="I699" t="str">
        <x:v>CONTINGENCY</x:v>
      </x:c>
      <x:c r="J699" s="30" t="n">
        <x:v>64.03</x:v>
      </x:c>
    </x:row>
    <x:row r="700">
      <x:c r="F700" t="str">
        <x:v>EXP00650</x:v>
      </x:c>
      <x:c r="G700" t="n">
        <x:v>46082</x:v>
      </x:c>
      <x:c r="H700" t="str">
        <x:v>DOD-W81XWH</x:v>
      </x:c>
      <x:c r="I700" t="str">
        <x:v>FNA</x:v>
      </x:c>
      <x:c r="J700" s="30" t="n">
        <x:v>2888.52</x:v>
      </x:c>
    </x:row>
    <x:row r="701">
      <x:c r="F701" t="str">
        <x:v>EXP00651</x:v>
      </x:c>
      <x:c r="G701" t="n">
        <x:v>46082</x:v>
      </x:c>
      <x:c r="H701" t="str">
        <x:v>K99-AG054321</x:v>
      </x:c>
      <x:c r="I701" t="str">
        <x:v>FNA</x:v>
      </x:c>
      <x:c r="J701" s="30" t="n">
        <x:v>18839</x:v>
      </x:c>
    </x:row>
    <x:row r="702">
      <x:c r="F702" t="str">
        <x:v>EXP00652</x:v>
      </x:c>
      <x:c r="G702" t="n">
        <x:v>46082</x:v>
      </x:c>
      <x:c r="H702" t="str">
        <x:v>FDTN-CZ-891</x:v>
      </x:c>
      <x:c r="I702" t="str">
        <x:v>FNA</x:v>
      </x:c>
      <x:c r="J702" s="30" t="n">
        <x:v>19518.81</x:v>
      </x:c>
    </x:row>
    <x:row r="703">
      <x:c r="F703" t="str">
        <x:v>EXP00653</x:v>
      </x:c>
      <x:c r="G703" t="n">
        <x:v>46082</x:v>
      </x:c>
      <x:c r="H703" t="str">
        <x:v>FDTN-CZ-891</x:v>
      </x:c>
      <x:c r="I703" t="str">
        <x:v>CONTINGENCY</x:v>
      </x:c>
      <x:c r="J703" s="30" t="n">
        <x:v>395.55</x:v>
      </x:c>
    </x:row>
    <x:row r="704">
      <x:c r="F704" t="str">
        <x:v>EXP00654</x:v>
      </x:c>
      <x:c r="G704" t="n">
        <x:v>46082</x:v>
      </x:c>
      <x:c r="H704" t="str">
        <x:v>PCORI-12345</x:v>
      </x:c>
      <x:c r="I704" t="str">
        <x:v>CONTINGENCY</x:v>
      </x:c>
      <x:c r="J704" s="30" t="n">
        <x:v>96.95</x:v>
      </x:c>
    </x:row>
    <x:row r="705">
      <x:c r="F705" t="str">
        <x:v>EXP00655</x:v>
      </x:c>
      <x:c r="G705" t="n">
        <x:v>46082</x:v>
      </x:c>
      <x:c r="H705" t="str">
        <x:v>DOD-W81XWH</x:v>
      </x:c>
      <x:c r="I705" t="str">
        <x:v>CONTINGENCY</x:v>
      </x:c>
      <x:c r="J705" s="30" t="n">
        <x:v>376.08</x:v>
      </x:c>
    </x:row>
    <x:row r="706">
      <x:c r="F706" t="str">
        <x:v>EXP00656</x:v>
      </x:c>
      <x:c r="G706" t="n">
        <x:v>46113</x:v>
      </x:c>
      <x:c r="H706" t="str">
        <x:v>PCORI-12345</x:v>
      </x:c>
      <x:c r="I706" t="str">
        <x:v>FNA</x:v>
      </x:c>
      <x:c r="J706" s="30" t="n">
        <x:v>292.8</x:v>
      </x:c>
    </x:row>
    <x:row r="707">
      <x:c r="F707" t="str">
        <x:v>EXP00657</x:v>
      </x:c>
      <x:c r="G707" t="n">
        <x:v>46113</x:v>
      </x:c>
      <x:c r="H707" t="str">
        <x:v>K99-AG054321</x:v>
      </x:c>
      <x:c r="I707" t="str">
        <x:v>FNA</x:v>
      </x:c>
      <x:c r="J707" s="30" t="n">
        <x:v>21714.23</x:v>
      </x:c>
    </x:row>
    <x:row r="708">
      <x:c r="F708" t="str">
        <x:v>EXP00658</x:v>
      </x:c>
      <x:c r="G708" t="n">
        <x:v>46113</x:v>
      </x:c>
      <x:c r="H708" t="str">
        <x:v>DOD-W81XWH</x:v>
      </x:c>
      <x:c r="I708" t="str">
        <x:v>FNA</x:v>
      </x:c>
      <x:c r="J708" s="30" t="n">
        <x:v>11944.83</x:v>
      </x:c>
    </x:row>
    <x:row r="709">
      <x:c r="F709" t="str">
        <x:v>EXP00659</x:v>
      </x:c>
      <x:c r="G709" t="n">
        <x:v>46113</x:v>
      </x:c>
      <x:c r="H709" t="str">
        <x:v>NSF-2234567</x:v>
      </x:c>
      <x:c r="I709" t="str">
        <x:v>FNA</x:v>
      </x:c>
      <x:c r="J709" s="30" t="n">
        <x:v>5754.69</x:v>
      </x:c>
    </x:row>
    <x:row r="710">
      <x:c r="F710" t="str">
        <x:v>EXP00660</x:v>
      </x:c>
      <x:c r="G710" t="n">
        <x:v>46113</x:v>
      </x:c>
      <x:c r="H710" t="str">
        <x:v>R01-CA198765</x:v>
      </x:c>
      <x:c r="I710" t="str">
        <x:v>CONTINGENCY</x:v>
      </x:c>
      <x:c r="J710" s="30" t="n">
        <x:v>245.16</x:v>
      </x:c>
    </x:row>
    <x:row r="711">
      <x:c r="F711" t="str">
        <x:v>EXP00661</x:v>
      </x:c>
      <x:c r="G711" t="n">
        <x:v>46113</x:v>
      </x:c>
      <x:c r="H711" t="str">
        <x:v>NSF-2234567</x:v>
      </x:c>
      <x:c r="I711" t="str">
        <x:v>CONTINGENCY</x:v>
      </x:c>
      <x:c r="J711" s="30" t="n">
        <x:v>49.92</x:v>
      </x:c>
    </x:row>
    <x:row r="712">
      <x:c r="F712" t="str">
        <x:v>EXP00662</x:v>
      </x:c>
      <x:c r="G712" t="n">
        <x:v>46113</x:v>
      </x:c>
      <x:c r="H712" t="str">
        <x:v>PCORI-12345</x:v>
      </x:c>
      <x:c r="I712" t="str">
        <x:v>CONTINGENCY</x:v>
      </x:c>
      <x:c r="J712" s="30" t="n">
        <x:v>134.52</x:v>
      </x:c>
    </x:row>
    <x:row r="713">
      <x:c r="F713" t="str">
        <x:v>EXP00663</x:v>
      </x:c>
      <x:c r="G713" t="n">
        <x:v>46143</x:v>
      </x:c>
      <x:c r="H713" t="str">
        <x:v>FDTN-CZ-891</x:v>
      </x:c>
      <x:c r="I713" t="str">
        <x:v>FNA</x:v>
      </x:c>
      <x:c r="J713" s="30" t="n">
        <x:v>17028.14</x:v>
      </x:c>
    </x:row>
    <x:row r="714">
      <x:c r="F714" t="str">
        <x:v>EXP00664</x:v>
      </x:c>
      <x:c r="G714" t="n">
        <x:v>46143</x:v>
      </x:c>
      <x:c r="H714" t="str">
        <x:v>PCORI-12345</x:v>
      </x:c>
      <x:c r="I714" t="str">
        <x:v>FNA</x:v>
      </x:c>
      <x:c r="J714" s="30" t="n">
        <x:v>22009.91</x:v>
      </x:c>
    </x:row>
    <x:row r="715">
      <x:c r="F715" t="str">
        <x:v>EXP00665</x:v>
      </x:c>
      <x:c r="G715" t="n">
        <x:v>46143</x:v>
      </x:c>
      <x:c r="H715" t="str">
        <x:v>R01-HL145821</x:v>
      </x:c>
      <x:c r="I715" t="str">
        <x:v>CONTINGENCY</x:v>
      </x:c>
      <x:c r="J715" s="30" t="n">
        <x:v>276.46</x:v>
      </x:c>
    </x:row>
    <x:row r="716">
      <x:c r="F716" t="str">
        <x:v>EXP00666</x:v>
      </x:c>
      <x:c r="G716" t="n">
        <x:v>46143</x:v>
      </x:c>
      <x:c r="H716" t="str">
        <x:v>PCORI-12345</x:v>
      </x:c>
      <x:c r="I716" t="str">
        <x:v>CONTINGENCY</x:v>
      </x:c>
      <x:c r="J716" s="30" t="n">
        <x:v>158.77</x:v>
      </x:c>
    </x:row>
    <x:row r="717">
      <x:c r="F717" t="str">
        <x:v>EXP00667</x:v>
      </x:c>
      <x:c r="G717" t="n">
        <x:v>46143</x:v>
      </x:c>
      <x:c r="H717" t="str">
        <x:v>K99-AG054321</x:v>
      </x:c>
      <x:c r="I717" t="str">
        <x:v>CONTINGENCY</x:v>
      </x:c>
      <x:c r="J717" s="30" t="n">
        <x:v>178.08</x:v>
      </x:c>
    </x:row>
    <x:row r="718">
      <x:c r="F718" t="str">
        <x:v>EXP00668</x:v>
      </x:c>
      <x:c r="G718" t="n">
        <x:v>46174</x:v>
      </x:c>
      <x:c r="H718" t="str">
        <x:v>DOD-W81XWH</x:v>
      </x:c>
      <x:c r="I718" t="str">
        <x:v>FNA</x:v>
      </x:c>
      <x:c r="J718" s="30" t="n">
        <x:v>13110.6</x:v>
      </x:c>
    </x:row>
    <x:row r="719">
      <x:c r="F719" t="str">
        <x:v>EXP00669</x:v>
      </x:c>
      <x:c r="G719" t="n">
        <x:v>46174</x:v>
      </x:c>
      <x:c r="H719" t="str">
        <x:v>NSF-2234567</x:v>
      </x:c>
      <x:c r="I719" t="str">
        <x:v>FNA</x:v>
      </x:c>
      <x:c r="J719" s="30" t="n">
        <x:v>8341.91</x:v>
      </x:c>
    </x:row>
    <x:row r="720">
      <x:c r="F720" t="str">
        <x:v>EXP00670</x:v>
      </x:c>
      <x:c r="G720" t="n">
        <x:v>46174</x:v>
      </x:c>
      <x:c r="H720" t="str">
        <x:v>R01-HL145821</x:v>
      </x:c>
      <x:c r="I720" t="str">
        <x:v>FNA</x:v>
      </x:c>
      <x:c r="J720" s="30" t="n">
        <x:v>11667.75</x:v>
      </x:c>
    </x:row>
    <x:row r="721">
      <x:c r="F721" t="str">
        <x:v>EXP00671</x:v>
      </x:c>
      <x:c r="G721" t="n">
        <x:v>46174</x:v>
      </x:c>
      <x:c r="H721" t="str">
        <x:v>R01-CA198765</x:v>
      </x:c>
      <x:c r="I721" t="str">
        <x:v>FNA</x:v>
      </x:c>
      <x:c r="J721" s="30" t="n">
        <x:v>5892.02</x:v>
      </x:c>
    </x:row>
    <x:row r="722">
      <x:c r="F722" t="str">
        <x:v>EXP00672</x:v>
      </x:c>
      <x:c r="G722" t="n">
        <x:v>46174</x:v>
      </x:c>
      <x:c r="H722" t="str">
        <x:v>NSF-2234567</x:v>
      </x:c>
      <x:c r="I722" t="str">
        <x:v>CONTINGENCY</x:v>
      </x:c>
      <x:c r="J722" s="30" t="n">
        <x:v>34.71</x:v>
      </x:c>
    </x:row>
    <x:row r="723">
      <x:c r="F723" t="str">
        <x:v>EXP00673</x:v>
      </x:c>
      <x:c r="G723" t="n">
        <x:v>46174</x:v>
      </x:c>
      <x:c r="H723" t="str">
        <x:v>K99-AG054321</x:v>
      </x:c>
      <x:c r="I723" t="str">
        <x:v>CONTINGENCY</x:v>
      </x:c>
      <x:c r="J723" s="30" t="n">
        <x:v>71.79</x:v>
      </x:c>
    </x:row>
    <x:row r="724">
      <x:c r="F724" t="str">
        <x:v>EXP00674</x:v>
      </x:c>
      <x:c r="G724" t="n">
        <x:v>46174</x:v>
      </x:c>
      <x:c r="H724" t="str">
        <x:v>FDTN-CZ-891</x:v>
      </x:c>
      <x:c r="I724" t="str">
        <x:v>CONTINGENCY</x:v>
      </x:c>
      <x:c r="J724" s="30" t="n">
        <x:v>565.78</x:v>
      </x:c>
    </x:row>
    <x:row r="725">
      <x:c r="F725" t="str">
        <x:v>EXP00675</x:v>
      </x:c>
      <x:c r="G725" t="n">
        <x:v>46174</x:v>
      </x:c>
      <x:c r="H725" t="str">
        <x:v>DOD-W81XWH</x:v>
      </x:c>
      <x:c r="I725" t="str">
        <x:v>CONTINGENCY</x:v>
      </x:c>
      <x:c r="J725" s="30" t="n">
        <x:v>50.86</x:v>
      </x:c>
    </x:row>
  </x:sheetData>
  <x:mergeCells>
    <x:mergeCell ref="A1:H1"/>
  </x:mergeCells>
  <x:pageMargins left="0.7" right="0.7" top="0.75" bottom="0.75" header="0.3" footer="0.3"/>
  <x:tableParts count="6">
    <x:tablePart xmlns:r="http://schemas.openxmlformats.org/officeDocument/2006/relationships" r:id="R31403a12591e42cc"/>
    <x:tablePart xmlns:r="http://schemas.openxmlformats.org/officeDocument/2006/relationships" r:id="Re4414a60a89e4d69"/>
    <x:tablePart xmlns:r="http://schemas.openxmlformats.org/officeDocument/2006/relationships" r:id="R14688c03e752447d"/>
    <x:tablePart xmlns:r="http://schemas.openxmlformats.org/officeDocument/2006/relationships" r:id="R7b8fc1b102e44294"/>
    <x:tablePart xmlns:r="http://schemas.openxmlformats.org/officeDocument/2006/relationships" r:id="R2578435f5e3d4d98"/>
    <x:tablePart xmlns:r="http://schemas.openxmlformats.org/officeDocument/2006/relationships" r:id="R61aceeba754c4c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73" t="str">
        <x:v>SQL Schema</x:v>
      </x:c>
      <x:c r="B1" s="73"/>
      <x:c r="C1" s="73"/>
      <x:c r="D1" s="73"/>
      <x:c r="E1" s="73"/>
      <x:c r="F1" s="73"/>
      <x:c r="G1" s="73"/>
      <x:c r="H1" s="73"/>
      <x:c r="I1" s="70"/>
      <x:c r="J1" s="70"/>
      <x:c r="K1" s="70"/>
      <x:c r="L1" s="70"/>
      <x:c r="M1" s="70"/>
      <x:c r="N1" s="70"/>
      <x:c r="O1" s="70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 ht="300" customHeight="1">
      <x:c r="A3" s="43" t="str">
        <x:v>-- PostgreSQL schema for this portfolio project
CREATE TABLE dim_month (month_start_date DATE PRIMARY KEY, month_name VARCHAR(3), fiscal_month_number INT);
CREATE TABLE dim_cost_category (category_id VARCHAR(30) PRIMARY KEY, category_name VARCHAR(100), cost_group VARCHAR(60), phasing_method VARCHAR(30));
CREATE TABLE dim_grant (grant_id VARCHAR(30) PRIMARY KEY, award_title VARCHAR(150), principal_investigator VARCHAR(100), funding_agency VARCHAR(60), award_start_date DATE, award_end_date DATE, total_award NUMERIC(14,2), fy2025_budget NUMERIC(14,2));
CREATE TABLE dim_personnel (employee_id VARCHAR(10) PRIMARY KEY, employee_name VARCHAR(100), title_role VARCHAR(100), department VARCHAR(40), fte NUMERIC(5,2), base_salary NUMERIC(12,2), merit_rate NUMERIC(6,4), benefits_rate NUMERIC(6,4), pension_rate NUMERIC(6,4), bonus_rate NUMERIC(6,4));
CREATE TABLE fact_budget (month_start_date DATE REFERENCES dim_month(month_start_date), category_id VARCHAR(30) REFERENCES dim_cost_category(category_id), budget_amount NUMERIC(14,2), PRIMARY KEY(month_start_date, category_id));
CREATE TABLE fact_actual_expense (expense_id VARCHAR(20) PRIMARY KEY, month_start_date DATE REFERENCES dim_month(month_start_date), grant_id VARCHAR(30) REFERENCES dim_grant(grant_id), category_id VARCHAR(30) REFERENCES dim_cost_category(category_id), actual_amount NUMERIC(14,2));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10" hidden="0" customWidth="1"/>
  </x:cols>
  <x:sheetData>
    <x:row r="1">
      <x:c r="A1" s="72" t="str">
        <x:v>SQL Queries to Show in Portfolio / GitHub</x:v>
      </x:c>
      <x:c r="B1" s="72"/>
      <x:c r="C1" s="72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>
      <x:c r="A3" s="51" t="str">
        <x:v>Query Name</x:v>
      </x:c>
      <x:c r="B3" s="51" t="str">
        <x:v>Purpose</x:v>
      </x:c>
      <x:c r="C3" s="51" t="str">
        <x:v>SQL</x:v>
      </x:c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>
      <x:c r="A4" s="39" t="str">
        <x:v>Budget vs Actual by Category</x:v>
      </x:c>
      <x:c r="B4" s="39" t="str">
        <x:v>Find categories over or under budget</x:v>
      </x:c>
      <x:c r="C4" s="39" t="str">
        <x:v>SELECT c.cost_group, c.category_name, SUM(b.budget_amount) AS annual_budget, SUM(a.actual_amount) AS actual_spend, SUM(a.actual_amount)-SUM(b.budget_amount) AS variance_amount, (SUM(a.actual_amount)-SUM(b.budget_amount))/NULLIF(SUM(b.budget_amount),0) AS variance_pct FROM fact_budget b JOIN dim_cost_category c ON b.category_id=c.category_id LEFT JOIN fact_actual_expense a ON b.month_start_date=a.month_start_date AND b.category_id=a.category_id GROUP BY c.cost_group, c.category_name ORDER BY variance_amount DESC;</x:v>
      </x:c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</x:row>
    <x:row r="5">
      <x:c r="A5" s="39" t="str">
        <x:v>Monthly Trend</x:v>
      </x:c>
      <x:c r="B5" s="39" t="str">
        <x:v>Compare monthly budget vs actual spend</x:v>
      </x:c>
      <x:c r="C5" s="39" t="str">
        <x:v>SELECT m.fiscal_month_number, m.month_name, SUM(b.budget_amount) AS monthly_budget, SUM(a.actual_amount) AS monthly_actual, SUM(a.actual_amount)-SUM(b.budget_amount) AS monthly_variance FROM dim_month m LEFT JOIN fact_budget b ON m.month_start_date=b.month_start_date LEFT JOIN fact_actual_expense a ON m.month_start_date=a.month_start_date AND b.category_id=a.category_id GROUP BY m.fiscal_month_number, m.month_name ORDER BY m.fiscal_month_number;</x:v>
      </x:c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</x:row>
    <x:row r="6">
      <x:c r="A6" s="39" t="str">
        <x:v>Grant Burn Rate</x:v>
      </x:c>
      <x:c r="B6" s="39" t="str">
        <x:v>Flag grants at risk of overspending</x:v>
      </x:c>
      <x:c r="C6" s="39" t="str">
        <x:v>SELECT g.grant_id, g.award_title, g.fy2025_budget, SUM(a.actual_amount) AS ytd_spend, SUM(a.actual_amount)/NULLIF(g.fy2025_budget,0) AS spend_rate, CASE WHEN SUM(a.actual_amount)/NULLIF(g.fy2025_budget,0) &gt;= 1 THEN 'High' WHEN SUM(a.actual_amount)/NULLIF(g.fy2025_budget,0) &gt;= .85 THEN 'Medium' ELSE 'Low' END AS risk_level FROM dim_grant g LEFT JOIN fact_actual_expense a ON g.grant_id=a.grant_id GROUP BY g.grant_id, g.award_title, g.fy2025_budget ORDER BY spend_rate DESC;</x:v>
      </x:c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</x:row>
    <x:row r="7">
      <x:c r="A7" s="39" t="str">
        <x:v>Loaded Personnel Cost</x:v>
      </x:c>
      <x:c r="B7" s="39" t="str">
        <x:v>Calculate full personnel cost including benefits and pension</x:v>
      </x:c>
      <x:c r="C7" s="39" t="str">
        <x:v>SELECT employee_name, title_role, department, fte, base_salary*(1+merit_rate)*fte AS fy_salary, base_salary*(1+merit_rate)*fte*benefits_rate AS benefits_cost, base_salary*(1+merit_rate)*fte*pension_rate AS pension_cost, base_salary*(1+merit_rate)*fte*(1+benefits_rate+pension_rate+bonus_rate) AS total_compensation FROM dim_personnel ORDER BY total_compensation DESC;</x:v>
      </x:c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.34000015258789" hidden="0" customWidth="1"/>
    <x:col min="2" max="2" width="27.59000015258789" hidden="0" customWidth="1"/>
    <x:col min="3" max="3" width="11.979999542236328" hidden="0" customWidth="1"/>
    <x:col min="4" max="4" width="10.630000114440918" hidden="0" customWidth="1"/>
    <x:col min="5" max="5" width="8.479999542236328" hidden="0" customWidth="1"/>
    <x:col min="6" max="6" width="8.880000114440918" hidden="0" customWidth="1"/>
    <x:col min="7" max="7" width="6.730000019073486" hidden="0" customWidth="1"/>
    <x:col min="8" max="8" width="32" hidden="0" customWidth="1"/>
  </x:cols>
  <x:sheetData>
    <x:row r="1">
      <x:c r="A1" s="73" t="str">
        <x:v>Budget vs Actual Analysis — FY2025</x:v>
      </x:c>
      <x:c r="B1" s="73"/>
      <x:c r="C1" s="73"/>
      <x:c r="D1" s="73"/>
      <x:c r="E1" s="73"/>
      <x:c r="F1" s="73"/>
      <x:c r="G1" s="73"/>
      <x:c r="H1" s="73"/>
      <x:c r="I1" s="70"/>
      <x:c r="J1" s="70"/>
      <x:c r="K1" s="70"/>
      <x:c r="L1" s="70"/>
      <x:c r="M1" s="70"/>
      <x:c r="N1" s="70"/>
      <x:c r="O1" s="70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>
      <x:c r="A3" s="51" t="str">
        <x:v>Cost Group</x:v>
      </x:c>
      <x:c r="B3" s="51" t="str">
        <x:v>Category</x:v>
      </x:c>
      <x:c r="C3" s="51" t="str">
        <x:v>Annual Budget</x:v>
      </x:c>
      <x:c r="D3" s="51" t="str">
        <x:v>Actual Spend</x:v>
      </x:c>
      <x:c r="E3" s="51" t="str">
        <x:v>Variance $</x:v>
      </x:c>
      <x:c r="F3" s="51" t="str">
        <x:v>Variance %</x:v>
      </x:c>
      <x:c r="G3" s="51" t="str">
        <x:v>Risk</x:v>
      </x:c>
      <x:c r="H3" s="51" t="str">
        <x:v>Action Recommendation</x:v>
      </x:c>
      <x:c r="I3" s="39"/>
      <x:c r="J3" s="39"/>
      <x:c r="K3" s="39"/>
      <x:c r="L3" s="39"/>
      <x:c r="M3" s="39"/>
      <x:c r="N3" s="39"/>
      <x:c r="O3" s="39"/>
    </x:row>
    <x:row r="4">
      <x:c r="A4" s="39" t="str">
        <x:v>Personnel</x:v>
      </x:c>
      <x:c r="B4" s="39" t="str">
        <x:v>Personnel — Total Compensation</x:v>
      </x:c>
      <x:c r="C4" s="53" t="n">
        <x:f>SUMIFS(FactBudget[budget_amount],FactBudget[category_id],"PERSONNEL")</x:f>
        <x:v>1233103.68</x:v>
      </x:c>
      <x:c r="D4" s="53" t="n">
        <x:f>SUMIFS(FactActualExpense[actual_amount],FactActualExpense[category_id],"PERSONNEL")</x:f>
        <x:v>1220379.1400000001</x:v>
      </x:c>
      <x:c r="E4" s="53" t="n">
        <x:f>D4-C4</x:f>
        <x:v>-12724.539999999804</x:v>
      </x:c>
      <x:c r="F4" s="52" t="n">
        <x:f>IFERROR(E4/C4,0)</x:f>
        <x:v>-0.010319116069785637</x:v>
      </x:c>
      <x:c r="G4" s="39" t="str">
        <x:f>IF(F4&gt;0.15,"High",IF(F4&gt;0.05,"Medium","Low"))</x:f>
        <x:v>Low</x:v>
      </x:c>
      <x:c r="H4" s="39" t="str">
        <x:f>IF(G4="High","Investigate immediately / reforecast",IF(G4="Medium","Monitor and validate driver","No action beyond monthly review"))</x:f>
        <x:v>No action beyond monthly review</x:v>
      </x:c>
      <x:c r="I4" s="39"/>
      <x:c r="J4" s="39"/>
      <x:c r="K4" s="39"/>
      <x:c r="L4" s="39"/>
      <x:c r="M4" s="39"/>
      <x:c r="N4" s="39"/>
      <x:c r="O4" s="39"/>
    </x:row>
    <x:row r="5">
      <x:c r="A5" s="39" t="str">
        <x:v>Laboratory Operations</x:v>
      </x:c>
      <x:c r="B5" s="39" t="str">
        <x:v>Lab Supplies &amp; Reagents</x:v>
      </x:c>
      <x:c r="C5" s="53" t="n">
        <x:f>SUMIFS(FactBudget[budget_amount],FactBudget[category_id],"LAB_SUPPLIES")</x:f>
        <x:v>192000</x:v>
      </x:c>
      <x:c r="D5" s="53" t="n">
        <x:f>SUMIFS(FactActualExpense[actual_amount],FactActualExpense[category_id],"LAB_SUPPLIES")</x:f>
        <x:v>229894.15999999997</x:v>
      </x:c>
      <x:c r="E5" s="53" t="n">
        <x:f>D5-C5</x:f>
        <x:v>37894.159999999974</x:v>
      </x:c>
      <x:c r="F5" s="52" t="n">
        <x:f>IFERROR(E5/C5,0)</x:f>
        <x:v>0.19736541666666654</x:v>
      </x:c>
      <x:c r="G5" s="39" t="str">
        <x:f>IF(F5&gt;0.15,"High",IF(F5&gt;0.05,"Medium","Low"))</x:f>
        <x:v>High</x:v>
      </x:c>
      <x:c r="H5" s="39" t="str">
        <x:f>IF(G5="High","Investigate immediately / reforecast",IF(G5="Medium","Monitor and validate driver","No action beyond monthly review"))</x:f>
        <x:v>Investigate immediately / reforecast</x:v>
      </x:c>
      <x:c r="I5" s="39"/>
      <x:c r="J5" s="39"/>
      <x:c r="K5" s="39"/>
      <x:c r="L5" s="39"/>
      <x:c r="M5" s="39"/>
      <x:c r="N5" s="39"/>
      <x:c r="O5" s="39"/>
    </x:row>
    <x:row r="6">
      <x:c r="A6" s="39" t="str">
        <x:v>Laboratory Operations</x:v>
      </x:c>
      <x:c r="B6" s="39" t="str">
        <x:v>Laboratory Equipment (&lt;$5k)</x:v>
      </x:c>
      <x:c r="C6" s="53" t="n">
        <x:f>SUMIFS(FactBudget[budget_amount],FactBudget[category_id],"LAB_EQUIP")</x:f>
        <x:v>48000</x:v>
      </x:c>
      <x:c r="D6" s="53" t="n">
        <x:f>SUMIFS(FactActualExpense[actual_amount],FactActualExpense[category_id],"LAB_EQUIP")</x:f>
        <x:v>44592.50000000001</x:v>
      </x:c>
      <x:c r="E6" s="53" t="n">
        <x:f>D6-C6</x:f>
        <x:v>-3407.4999999999927</x:v>
      </x:c>
      <x:c r="F6" s="52" t="n">
        <x:f>IFERROR(E6/C6,0)</x:f>
        <x:v>-0.07098958333333318</x:v>
      </x:c>
      <x:c r="G6" s="39" t="str">
        <x:f>IF(F6&gt;0.15,"High",IF(F6&gt;0.05,"Medium","Low"))</x:f>
        <x:v>Low</x:v>
      </x:c>
      <x:c r="H6" s="39" t="str">
        <x:f>IF(G6="High","Investigate immediately / reforecast",IF(G6="Medium","Monitor and validate driver","No action beyond monthly review"))</x:f>
        <x:v>No action beyond monthly review</x:v>
      </x:c>
      <x:c r="I6" s="39"/>
      <x:c r="J6" s="39"/>
      <x:c r="K6" s="39"/>
      <x:c r="L6" s="39"/>
      <x:c r="M6" s="39"/>
      <x:c r="N6" s="39"/>
      <x:c r="O6" s="39"/>
    </x:row>
    <x:row r="7">
      <x:c r="A7" s="39" t="str">
        <x:v>Laboratory Operations</x:v>
      </x:c>
      <x:c r="B7" s="39" t="str">
        <x:v>Equipment Maintenance &amp; Service</x:v>
      </x:c>
      <x:c r="C7" s="53" t="n">
        <x:f>SUMIFS(FactBudget[budget_amount],FactBudget[category_id],"EQUIP_MAINT")</x:f>
        <x:v>21999.960000000006</x:v>
      </x:c>
      <x:c r="D7" s="53" t="n">
        <x:f>SUMIFS(FactActualExpense[actual_amount],FactActualExpense[category_id],"EQUIP_MAINT")</x:f>
        <x:v>23060.52</x:v>
      </x:c>
      <x:c r="E7" s="53" t="n">
        <x:f>D7-C7</x:f>
        <x:v>1060.559999999994</x:v>
      </x:c>
      <x:c r="F7" s="52" t="n">
        <x:f>IFERROR(E7/C7,0)</x:f>
        <x:v>0.04820736037701858</x:v>
      </x:c>
      <x:c r="G7" s="39" t="str">
        <x:f>IF(F7&gt;0.15,"High",IF(F7&gt;0.05,"Medium","Low"))</x:f>
        <x:v>Low</x:v>
      </x:c>
      <x:c r="H7" s="39" t="str">
        <x:f>IF(G7="High","Investigate immediately / reforecast",IF(G7="Medium","Monitor and validate driver","No action beyond monthly review"))</x:f>
        <x:v>No action beyond monthly review</x:v>
      </x:c>
      <x:c r="I7" s="39"/>
      <x:c r="J7" s="39"/>
      <x:c r="K7" s="39"/>
      <x:c r="L7" s="39"/>
      <x:c r="M7" s="39"/>
      <x:c r="N7" s="39"/>
      <x:c r="O7" s="39"/>
    </x:row>
    <x:row r="8">
      <x:c r="A8" s="39" t="str">
        <x:v>Laboratory Operations</x:v>
      </x:c>
      <x:c r="B8" s="39" t="str">
        <x:v>Core Facility Usage Fees</x:v>
      </x:c>
      <x:c r="C8" s="53" t="n">
        <x:f>SUMIFS(FactBudget[budget_amount],FactBudget[category_id],"CORE_FACILITY")</x:f>
        <x:v>35000.03999999999</x:v>
      </x:c>
      <x:c r="D8" s="53" t="n">
        <x:f>SUMIFS(FactActualExpense[actual_amount],FactActualExpense[category_id],"CORE_FACILITY")</x:f>
        <x:v>39816.96</x:v>
      </x:c>
      <x:c r="E8" s="53" t="n">
        <x:f>D8-C8</x:f>
        <x:v>4816.9200000000055</x:v>
      </x:c>
      <x:c r="F8" s="52" t="n">
        <x:f>IFERROR(E8/C8,0)</x:f>
        <x:v>0.13762612842728197</x:v>
      </x:c>
      <x:c r="G8" s="39" t="str">
        <x:f>IF(F8&gt;0.15,"High",IF(F8&gt;0.05,"Medium","Low"))</x:f>
        <x:v>Medium</x:v>
      </x:c>
      <x:c r="H8" s="39" t="str">
        <x:f>IF(G8="High","Investigate immediately / reforecast",IF(G8="Medium","Monitor and validate driver","No action beyond monthly review"))</x:f>
        <x:v>Monitor and validate driver</x:v>
      </x:c>
      <x:c r="I8" s="39"/>
      <x:c r="J8" s="39"/>
      <x:c r="K8" s="39"/>
      <x:c r="L8" s="39"/>
      <x:c r="M8" s="39"/>
      <x:c r="N8" s="39"/>
      <x:c r="O8" s="39"/>
    </x:row>
    <x:row r="9">
      <x:c r="A9" s="39" t="str">
        <x:v>Laboratory Operations</x:v>
      </x:c>
      <x:c r="B9" s="39" t="str">
        <x:v>Lab Safety &amp; Compliance</x:v>
      </x:c>
      <x:c r="C9" s="53" t="n">
        <x:f>SUMIFS(FactBudget[budget_amount],FactBudget[category_id],"LAB_SAFETY")</x:f>
        <x:v>8499.960000000001</x:v>
      </x:c>
      <x:c r="D9" s="53" t="n">
        <x:f>SUMIFS(FactActualExpense[actual_amount],FactActualExpense[category_id],"LAB_SAFETY")</x:f>
        <x:v>8308.16</x:v>
      </x:c>
      <x:c r="E9" s="53" t="n">
        <x:f>D9-C9</x:f>
        <x:v>-191.8000000000011</x:v>
      </x:c>
      <x:c r="F9" s="52" t="n">
        <x:f>IFERROR(E9/C9,0)</x:f>
        <x:v>-0.022564812069703982</x:v>
      </x:c>
      <x:c r="G9" s="39" t="str">
        <x:f>IF(F9&gt;0.15,"High",IF(F9&gt;0.05,"Medium","Low"))</x:f>
        <x:v>Low</x:v>
      </x:c>
      <x:c r="H9" s="39" t="str">
        <x:f>IF(G9="High","Investigate immediately / reforecast",IF(G9="Medium","Monitor and validate driver","No action beyond monthly review"))</x:f>
        <x:v>No action beyond monthly review</x:v>
      </x:c>
      <x:c r="I9" s="39"/>
      <x:c r="J9" s="39"/>
      <x:c r="K9" s="39"/>
      <x:c r="L9" s="39"/>
      <x:c r="M9" s="39"/>
      <x:c r="N9" s="39"/>
      <x:c r="O9" s="39"/>
    </x:row>
    <x:row r="10">
      <x:c r="A10" s="39" t="str">
        <x:v>Research &amp; Scientific</x:v>
      </x:c>
      <x:c r="B10" s="39" t="str">
        <x:v>Subcontracts &amp; Consultants</x:v>
      </x:c>
      <x:c r="C10" s="53" t="n">
        <x:f>SUMIFS(FactBudget[budget_amount],FactBudget[category_id],"SUBCONTRACTS")</x:f>
        <x:v>72000</x:v>
      </x:c>
      <x:c r="D10" s="53" t="n">
        <x:f>SUMIFS(FactActualExpense[actual_amount],FactActualExpense[category_id],"SUBCONTRACTS")</x:f>
        <x:v>64962.02</x:v>
      </x:c>
      <x:c r="E10" s="53" t="n">
        <x:f>D10-C10</x:f>
        <x:v>-7037.980000000003</x:v>
      </x:c>
      <x:c r="F10" s="52" t="n">
        <x:f>IFERROR(E10/C10,0)</x:f>
        <x:v>-0.09774972222222227</x:v>
      </x:c>
      <x:c r="G10" s="39" t="str">
        <x:f>IF(F10&gt;0.15,"High",IF(F10&gt;0.05,"Medium","Low"))</x:f>
        <x:v>Low</x:v>
      </x:c>
      <x:c r="H10" s="39" t="str">
        <x:f>IF(G10="High","Investigate immediately / reforecast",IF(G10="Medium","Monitor and validate driver","No action beyond monthly review"))</x:f>
        <x:v>No action beyond monthly review</x:v>
      </x:c>
      <x:c r="I10" s="39"/>
      <x:c r="J10" s="39"/>
      <x:c r="K10" s="39"/>
      <x:c r="L10" s="39"/>
      <x:c r="M10" s="39"/>
      <x:c r="N10" s="39"/>
      <x:c r="O10" s="39"/>
    </x:row>
    <x:row r="11">
      <x:c r="A11" s="39" t="str">
        <x:v>Research &amp; Scientific</x:v>
      </x:c>
      <x:c r="B11" s="39" t="str">
        <x:v>Animal Care &amp; Husbandry</x:v>
      </x:c>
      <x:c r="C11" s="53" t="n">
        <x:f>SUMIFS(FactBudget[budget_amount],FactBudget[category_id],"ANIMAL_CARE")</x:f>
        <x:v>42000</x:v>
      </x:c>
      <x:c r="D11" s="53" t="n">
        <x:f>SUMIFS(FactActualExpense[actual_amount],FactActualExpense[category_id],"ANIMAL_CARE")</x:f>
        <x:v>45224.22000000001</x:v>
      </x:c>
      <x:c r="E11" s="53" t="n">
        <x:f>D11-C11</x:f>
        <x:v>3224.2200000000084</x:v>
      </x:c>
      <x:c r="F11" s="52" t="n">
        <x:f>IFERROR(E11/C11,0)</x:f>
        <x:v>0.07676714285714306</x:v>
      </x:c>
      <x:c r="G11" s="39" t="str">
        <x:f>IF(F11&gt;0.15,"High",IF(F11&gt;0.05,"Medium","Low"))</x:f>
        <x:v>Medium</x:v>
      </x:c>
      <x:c r="H11" s="39" t="str">
        <x:f>IF(G11="High","Investigate immediately / reforecast",IF(G11="Medium","Monitor and validate driver","No action beyond monthly review"))</x:f>
        <x:v>Monitor and validate driver</x:v>
      </x:c>
      <x:c r="I11" s="39"/>
      <x:c r="J11" s="39"/>
      <x:c r="K11" s="39"/>
      <x:c r="L11" s="39"/>
      <x:c r="M11" s="39"/>
      <x:c r="N11" s="39"/>
      <x:c r="O11" s="39"/>
    </x:row>
    <x:row r="12">
      <x:c r="A12" s="39" t="str">
        <x:v>Research &amp; Scientific</x:v>
      </x:c>
      <x:c r="B12" s="39" t="str">
        <x:v>Human Subjects / IRB Costs</x:v>
      </x:c>
      <x:c r="C12" s="53" t="n">
        <x:f>SUMIFS(FactBudget[budget_amount],FactBudget[category_id],"HUMAN_SUBJECTS")</x:f>
        <x:v>15000</x:v>
      </x:c>
      <x:c r="D12" s="53" t="n">
        <x:f>SUMIFS(FactActualExpense[actual_amount],FactActualExpense[category_id],"HUMAN_SUBJECTS")</x:f>
        <x:v>14294.78</x:v>
      </x:c>
      <x:c r="E12" s="53" t="n">
        <x:f>D12-C12</x:f>
        <x:v>-705.2199999999993</x:v>
      </x:c>
      <x:c r="F12" s="52" t="n">
        <x:f>IFERROR(E12/C12,0)</x:f>
        <x:v>-0.04701466666666662</x:v>
      </x:c>
      <x:c r="G12" s="39" t="str">
        <x:f>IF(F12&gt;0.15,"High",IF(F12&gt;0.05,"Medium","Low"))</x:f>
        <x:v>Low</x:v>
      </x:c>
      <x:c r="H12" s="39" t="str">
        <x:f>IF(G12="High","Investigate immediately / reforecast",IF(G12="Medium","Monitor and validate driver","No action beyond monthly review"))</x:f>
        <x:v>No action beyond monthly review</x:v>
      </x:c>
      <x:c r="I12" s="39"/>
      <x:c r="J12" s="39"/>
      <x:c r="K12" s="39"/>
      <x:c r="L12" s="39"/>
      <x:c r="M12" s="39"/>
      <x:c r="N12" s="39"/>
      <x:c r="O12" s="39"/>
    </x:row>
    <x:row r="13">
      <x:c r="A13" s="39" t="str">
        <x:v>Research &amp; Scientific</x:v>
      </x:c>
      <x:c r="B13" s="39" t="str">
        <x:v>Publication &amp; Open Access Fees</x:v>
      </x:c>
      <x:c r="C13" s="53" t="n">
        <x:f>SUMIFS(FactBudget[budget_amount],FactBudget[category_id],"PUBLICATION")</x:f>
        <x:v>9500</x:v>
      </x:c>
      <x:c r="D13" s="53" t="n">
        <x:f>SUMIFS(FactActualExpense[actual_amount],FactActualExpense[category_id],"PUBLICATION")</x:f>
        <x:v>11626.619999999999</x:v>
      </x:c>
      <x:c r="E13" s="53" t="n">
        <x:f>D13-C13</x:f>
        <x:v>2126.619999999999</x:v>
      </x:c>
      <x:c r="F13" s="52" t="n">
        <x:f>IFERROR(E13/C13,0)</x:f>
        <x:v>0.22385473684210516</x:v>
      </x:c>
      <x:c r="G13" s="39" t="str">
        <x:f>IF(F13&gt;0.15,"High",IF(F13&gt;0.05,"Medium","Low"))</x:f>
        <x:v>High</x:v>
      </x:c>
      <x:c r="H13" s="39" t="str">
        <x:f>IF(G13="High","Investigate immediately / reforecast",IF(G13="Medium","Monitor and validate driver","No action beyond monthly review"))</x:f>
        <x:v>Investigate immediately / reforecast</x:v>
      </x:c>
      <x:c r="I13" s="39"/>
      <x:c r="J13" s="39"/>
      <x:c r="K13" s="39"/>
      <x:c r="L13" s="39"/>
      <x:c r="M13" s="39"/>
      <x:c r="N13" s="39"/>
      <x:c r="O13" s="39"/>
    </x:row>
    <x:row r="14">
      <x:c r="A14" s="39" t="str">
        <x:v>Research &amp; Scientific</x:v>
      </x:c>
      <x:c r="B14" s="39" t="str">
        <x:v>Research Computing / HPC</x:v>
      </x:c>
      <x:c r="C14" s="53" t="n">
        <x:f>SUMIFS(FactBudget[budget_amount],FactBudget[category_id],"COMPUTE")</x:f>
        <x:v>18000</x:v>
      </x:c>
      <x:c r="D14" s="53" t="n">
        <x:f>SUMIFS(FactActualExpense[actual_amount],FactActualExpense[category_id],"COMPUTE")</x:f>
        <x:v>21147.07</x:v>
      </x:c>
      <x:c r="E14" s="53" t="n">
        <x:f>D14-C14</x:f>
        <x:v>3147.0699999999997</x:v>
      </x:c>
      <x:c r="F14" s="52" t="n">
        <x:f>IFERROR(E14/C14,0)</x:f>
        <x:v>0.1748372222222222</x:v>
      </x:c>
      <x:c r="G14" s="39" t="str">
        <x:f>IF(F14&gt;0.15,"High",IF(F14&gt;0.05,"Medium","Low"))</x:f>
        <x:v>High</x:v>
      </x:c>
      <x:c r="H14" s="39" t="str">
        <x:f>IF(G14="High","Investigate immediately / reforecast",IF(G14="Medium","Monitor and validate driver","No action beyond monthly review"))</x:f>
        <x:v>Investigate immediately / reforecast</x:v>
      </x:c>
      <x:c r="I14" s="39"/>
      <x:c r="J14" s="39"/>
      <x:c r="K14" s="39"/>
      <x:c r="L14" s="39"/>
      <x:c r="M14" s="39"/>
      <x:c r="N14" s="39"/>
      <x:c r="O14" s="39"/>
    </x:row>
    <x:row r="15">
      <x:c r="A15" s="39" t="str">
        <x:v>Administrative &amp; Travel</x:v>
      </x:c>
      <x:c r="B15" s="39" t="str">
        <x:v>Domestic Conference &amp; Travel</x:v>
      </x:c>
      <x:c r="C15" s="53" t="n">
        <x:f>SUMIFS(FactBudget[budget_amount],FactBudget[category_id],"TRAVEL")</x:f>
        <x:v>28000</x:v>
      </x:c>
      <x:c r="D15" s="53" t="n">
        <x:f>SUMIFS(FactActualExpense[actual_amount],FactActualExpense[category_id],"TRAVEL")</x:f>
        <x:v>17651.670000000002</x:v>
      </x:c>
      <x:c r="E15" s="53" t="n">
        <x:f>D15-C15</x:f>
        <x:v>-10348.329999999998</x:v>
      </x:c>
      <x:c r="F15" s="52" t="n">
        <x:f>IFERROR(E15/C15,0)</x:f>
        <x:v>-0.3695832142857142</x:v>
      </x:c>
      <x:c r="G15" s="39" t="str">
        <x:f>IF(F15&gt;0.15,"High",IF(F15&gt;0.05,"Medium","Low"))</x:f>
        <x:v>Low</x:v>
      </x:c>
      <x:c r="H15" s="39" t="str">
        <x:f>IF(G15="High","Investigate immediately / reforecast",IF(G15="Medium","Monitor and validate driver","No action beyond monthly review"))</x:f>
        <x:v>No action beyond monthly review</x:v>
      </x:c>
      <x:c r="I15" s="39"/>
      <x:c r="J15" s="39"/>
      <x:c r="K15" s="39"/>
      <x:c r="L15" s="39"/>
      <x:c r="M15" s="39"/>
      <x:c r="N15" s="39"/>
      <x:c r="O15" s="39"/>
    </x:row>
    <x:row r="16">
      <x:c r="A16" s="39" t="str">
        <x:v>Administrative &amp; Travel</x:v>
      </x:c>
      <x:c r="B16" s="39" t="str">
        <x:v>International Travel</x:v>
      </x:c>
      <x:c r="C16" s="53" t="n">
        <x:f>SUMIFS(FactBudget[budget_amount],FactBudget[category_id],"INTL_TRAVEL")</x:f>
        <x:v>14000</x:v>
      </x:c>
      <x:c r="D16" s="53" t="n">
        <x:f>SUMIFS(FactActualExpense[actual_amount],FactActualExpense[category_id],"INTL_TRAVEL")</x:f>
        <x:v>7257.280000000001</x:v>
      </x:c>
      <x:c r="E16" s="53" t="n">
        <x:f>D16-C16</x:f>
        <x:v>-6742.719999999999</x:v>
      </x:c>
      <x:c r="F16" s="52" t="n">
        <x:f>IFERROR(E16/C16,0)</x:f>
        <x:v>-0.4816228571428571</x:v>
      </x:c>
      <x:c r="G16" s="39" t="str">
        <x:f>IF(F16&gt;0.15,"High",IF(F16&gt;0.05,"Medium","Low"))</x:f>
        <x:v>Low</x:v>
      </x:c>
      <x:c r="H16" s="39" t="str">
        <x:f>IF(G16="High","Investigate immediately / reforecast",IF(G16="Medium","Monitor and validate driver","No action beyond monthly review"))</x:f>
        <x:v>No action beyond monthly review</x:v>
      </x:c>
      <x:c r="I16" s="39"/>
      <x:c r="J16" s="39"/>
      <x:c r="K16" s="39"/>
      <x:c r="L16" s="39"/>
      <x:c r="M16" s="39"/>
      <x:c r="N16" s="39"/>
      <x:c r="O16" s="39"/>
    </x:row>
    <x:row r="17">
      <x:c r="A17" s="39" t="str">
        <x:v>Administrative &amp; Travel</x:v>
      </x:c>
      <x:c r="B17" s="39" t="str">
        <x:v>Office &amp; Admin Supplies</x:v>
      </x:c>
      <x:c r="C17" s="53" t="n">
        <x:f>SUMIFS(FactBudget[budget_amount],FactBudget[category_id],"OFFICE")</x:f>
        <x:v>9600</x:v>
      </x:c>
      <x:c r="D17" s="53" t="n">
        <x:f>SUMIFS(FactActualExpense[actual_amount],FactActualExpense[category_id],"OFFICE")</x:f>
        <x:v>9746.960000000001</x:v>
      </x:c>
      <x:c r="E17" s="53" t="n">
        <x:f>D17-C17</x:f>
        <x:v>146.96000000000095</x:v>
      </x:c>
      <x:c r="F17" s="52" t="n">
        <x:f>IFERROR(E17/C17,0)</x:f>
        <x:v>0.015308333333333432</x:v>
      </x:c>
      <x:c r="G17" s="39" t="str">
        <x:f>IF(F17&gt;0.15,"High",IF(F17&gt;0.05,"Medium","Low"))</x:f>
        <x:v>Low</x:v>
      </x:c>
      <x:c r="H17" s="39" t="str">
        <x:f>IF(G17="High","Investigate immediately / reforecast",IF(G17="Medium","Monitor and validate driver","No action beyond monthly review"))</x:f>
        <x:v>No action beyond monthly review</x:v>
      </x:c>
      <x:c r="I17" s="39"/>
      <x:c r="J17" s="39"/>
      <x:c r="K17" s="39"/>
      <x:c r="L17" s="39"/>
      <x:c r="M17" s="39"/>
      <x:c r="N17" s="39"/>
      <x:c r="O17" s="39"/>
    </x:row>
    <x:row r="18">
      <x:c r="A18" s="39" t="str">
        <x:v>Administrative &amp; Travel</x:v>
      </x:c>
      <x:c r="B18" s="39" t="str">
        <x:v>Telephone &amp; Communications</x:v>
      </x:c>
      <x:c r="C18" s="53" t="n">
        <x:f>SUMIFS(FactBudget[budget_amount],FactBudget[category_id],"PHONE")</x:f>
        <x:v>4200</x:v>
      </x:c>
      <x:c r="D18" s="53" t="n">
        <x:f>SUMIFS(FactActualExpense[actual_amount],FactActualExpense[category_id],"PHONE")</x:f>
        <x:v>4261.39</x:v>
      </x:c>
      <x:c r="E18" s="53" t="n">
        <x:f>D18-C18</x:f>
        <x:v>61.39000000000033</x:v>
      </x:c>
      <x:c r="F18" s="52" t="n">
        <x:f>IFERROR(E18/C18,0)</x:f>
        <x:v>0.014616666666666745</x:v>
      </x:c>
      <x:c r="G18" s="39" t="str">
        <x:f>IF(F18&gt;0.15,"High",IF(F18&gt;0.05,"Medium","Low"))</x:f>
        <x:v>Low</x:v>
      </x:c>
      <x:c r="H18" s="39" t="str">
        <x:f>IF(G18="High","Investigate immediately / reforecast",IF(G18="Medium","Monitor and validate driver","No action beyond monthly review"))</x:f>
        <x:v>No action beyond monthly review</x:v>
      </x:c>
      <x:c r="I18" s="39"/>
      <x:c r="J18" s="39"/>
      <x:c r="K18" s="39"/>
      <x:c r="L18" s="39"/>
      <x:c r="M18" s="39"/>
      <x:c r="N18" s="39"/>
      <x:c r="O18" s="39"/>
    </x:row>
    <x:row r="19">
      <x:c r="A19" s="39" t="str">
        <x:v>Administrative &amp; Travel</x:v>
      </x:c>
      <x:c r="B19" s="39" t="str">
        <x:v>IT Licenses &amp; Software</x:v>
      </x:c>
      <x:c r="C19" s="53" t="n">
        <x:f>SUMIFS(FactBudget[budget_amount],FactBudget[category_id],"SOFTWARE")</x:f>
        <x:v>16500</x:v>
      </x:c>
      <x:c r="D19" s="53" t="n">
        <x:f>SUMIFS(FactActualExpense[actual_amount],FactActualExpense[category_id],"SOFTWARE")</x:f>
        <x:v>15673.48</x:v>
      </x:c>
      <x:c r="E19" s="53" t="n">
        <x:f>D19-C19</x:f>
        <x:v>-826.5200000000004</x:v>
      </x:c>
      <x:c r="F19" s="52" t="n">
        <x:f>IFERROR(E19/C19,0)</x:f>
        <x:v>-0.05009212121212124</x:v>
      </x:c>
      <x:c r="G19" s="39" t="str">
        <x:f>IF(F19&gt;0.15,"High",IF(F19&gt;0.05,"Medium","Low"))</x:f>
        <x:v>Low</x:v>
      </x:c>
      <x:c r="H19" s="39" t="str">
        <x:f>IF(G19="High","Investigate immediately / reforecast",IF(G19="Medium","Monitor and validate driver","No action beyond monthly review"))</x:f>
        <x:v>No action beyond monthly review</x:v>
      </x:c>
      <x:c r="I19" s="39"/>
      <x:c r="J19" s="39"/>
      <x:c r="K19" s="39"/>
      <x:c r="L19" s="39"/>
      <x:c r="M19" s="39"/>
      <x:c r="N19" s="39"/>
      <x:c r="O19" s="39"/>
    </x:row>
    <x:row r="20">
      <x:c r="A20" s="39" t="str">
        <x:v>Administrative &amp; Travel</x:v>
      </x:c>
      <x:c r="B20" s="39" t="str">
        <x:v>Postage, Printing &amp; Copying</x:v>
      </x:c>
      <x:c r="C20" s="53" t="n">
        <x:f>SUMIFS(FactBudget[budget_amount],FactBudget[category_id],"PRINTING")</x:f>
        <x:v>2799.9599999999996</x:v>
      </x:c>
      <x:c r="D20" s="53" t="n">
        <x:f>SUMIFS(FactActualExpense[actual_amount],FactActualExpense[category_id],"PRINTING")</x:f>
        <x:v>2711.85</x:v>
      </x:c>
      <x:c r="E20" s="53" t="n">
        <x:f>D20-C20</x:f>
        <x:v>-88.10999999999967</x:v>
      </x:c>
      <x:c r="F20" s="52" t="n">
        <x:f>IFERROR(E20/C20,0)</x:f>
        <x:v>-0.03146830669009546</x:v>
      </x:c>
      <x:c r="G20" s="39" t="str">
        <x:f>IF(F20&gt;0.15,"High",IF(F20&gt;0.05,"Medium","Low"))</x:f>
        <x:v>Low</x:v>
      </x:c>
      <x:c r="H20" s="39" t="str">
        <x:f>IF(G20="High","Investigate immediately / reforecast",IF(G20="Medium","Monitor and validate driver","No action beyond monthly review"))</x:f>
        <x:v>No action beyond monthly review</x:v>
      </x:c>
      <x:c r="I20" s="39"/>
      <x:c r="J20" s="39"/>
      <x:c r="K20" s="39"/>
      <x:c r="L20" s="39"/>
      <x:c r="M20" s="39"/>
      <x:c r="N20" s="39"/>
      <x:c r="O20" s="39"/>
    </x:row>
    <x:row r="21">
      <x:c r="A21" s="39" t="str">
        <x:v>Indirect Costs &amp; Reserves</x:v>
      </x:c>
      <x:c r="B21" s="39" t="str">
        <x:v>Indirect Costs (F&amp;A) — 26.5%</x:v>
      </x:c>
      <x:c r="C21" s="53" t="n">
        <x:f>SUMIFS(FactBudget[budget_amount],FactBudget[category_id],"FNA")</x:f>
        <x:v>469104</x:v>
      </x:c>
      <x:c r="D21" s="53" t="n">
        <x:f>SUMIFS(FactActualExpense[actual_amount],FactActualExpense[category_id],"FNA")</x:f>
        <x:v>478732.23999999993</x:v>
      </x:c>
      <x:c r="E21" s="53" t="n">
        <x:f>D21-C21</x:f>
        <x:v>9628.239999999932</x:v>
      </x:c>
      <x:c r="F21" s="52" t="n">
        <x:f>IFERROR(E21/C21,0)</x:f>
        <x:v>0.020524745045874544</x:v>
      </x:c>
      <x:c r="G21" s="39" t="str">
        <x:f>IF(F21&gt;0.15,"High",IF(F21&gt;0.05,"Medium","Low"))</x:f>
        <x:v>Low</x:v>
      </x:c>
      <x:c r="H21" s="39" t="str">
        <x:f>IF(G21="High","Investigate immediately / reforecast",IF(G21="Medium","Monitor and validate driver","No action beyond monthly review"))</x:f>
        <x:v>No action beyond monthly review</x:v>
      </x:c>
      <x:c r="I21" s="39"/>
      <x:c r="J21" s="39"/>
      <x:c r="K21" s="39"/>
      <x:c r="L21" s="39"/>
      <x:c r="M21" s="39"/>
      <x:c r="N21" s="39"/>
      <x:c r="O21" s="39"/>
    </x:row>
    <x:row r="22">
      <x:c r="A22" s="39" t="str">
        <x:v>Indirect Costs &amp; Reserves</x:v>
      </x:c>
      <x:c r="B22" s="39" t="str">
        <x:v>Contingency Reserve (3%)</x:v>
      </x:c>
      <x:c r="C22" s="53" t="n">
        <x:f>SUMIFS(FactBudget[budget_amount],FactBudget[category_id],"CONTINGENCY")</x:f>
        <x:v>53106.12000000002</x:v>
      </x:c>
      <x:c r="D22" s="53" t="n">
        <x:f>SUMIFS(FactActualExpense[actual_amount],FactActualExpense[category_id],"CONTINGENCY")</x:f>
        <x:v>7534.139999999999</x:v>
      </x:c>
      <x:c r="E22" s="53" t="n">
        <x:f>D22-C22</x:f>
        <x:v>-45571.98000000002</x:v>
      </x:c>
      <x:c r="F22" s="52" t="n">
        <x:f>IFERROR(E22/C22,0)</x:f>
        <x:v>-0.8581304753576424</x:v>
      </x:c>
      <x:c r="G22" s="39" t="str">
        <x:f>IF(F22&gt;0.15,"High",IF(F22&gt;0.05,"Medium","Low"))</x:f>
        <x:v>Low</x:v>
      </x:c>
      <x:c r="H22" s="39" t="str">
        <x:f>IF(G22="High","Investigate immediately / reforecast",IF(G22="Medium","Monitor and validate driver","No action beyond monthly review"))</x:f>
        <x:v>No action beyond monthly review</x:v>
      </x:c>
      <x:c r="I22" s="39"/>
      <x:c r="J22" s="39"/>
      <x:c r="K22" s="39"/>
      <x:c r="L22" s="39"/>
      <x:c r="M22" s="39"/>
      <x:c r="N22" s="39"/>
      <x:c r="O22" s="39"/>
    </x:row>
    <x:row r="23">
      <x:c r="A23" s="60" t="str">
        <x:v>TOTAL</x:v>
      </x:c>
      <x:c r="B23" s="60" t="str">
        <x:v>Total Budget</x:v>
      </x:c>
      <x:c r="C23" s="61" t="n">
        <x:f>SUM(C4:C22)</x:f>
        <x:v>2292413.7199999997</x:v>
      </x:c>
      <x:c r="D23" s="61" t="n">
        <x:f>SUM(D4:D22)</x:f>
        <x:v>2266875.16</x:v>
      </x:c>
      <x:c r="E23" s="61" t="n">
        <x:f>D23-C23</x:f>
        <x:v>-25538.55999999959</x:v>
      </x:c>
      <x:c r="F23" s="62" t="n">
        <x:f>IFERROR(E23/C23,0)</x:f>
        <x:v>-0.011140467262601967</x:v>
      </x:c>
      <x:c r="G23" s="60"/>
      <x:c r="H23" s="60"/>
      <x:c r="I23" s="39"/>
      <x:c r="J23" s="39"/>
      <x:c r="K23" s="39"/>
      <x:c r="L23" s="39"/>
      <x:c r="M23" s="39"/>
      <x:c r="N23" s="39"/>
      <x:c r="O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</x:row>
    <x:row r="26">
      <x:c r="A26" s="51" t="str">
        <x:v>Month</x:v>
      </x:c>
      <x:c r="B26" s="51" t="str">
        <x:v>Budget</x:v>
      </x:c>
      <x:c r="C26" s="51" t="str">
        <x:v>Actual</x:v>
      </x:c>
      <x:c r="D26" s="51" t="str">
        <x:v>Variance</x:v>
      </x:c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</x:row>
    <x:row r="27">
      <x:c r="A27" s="39" t="str">
        <x:f>"Jul"</x:f>
        <x:v>Jul</x:v>
      </x:c>
      <x:c r="B27" s="53" t="n">
        <x:f>SUMIFS(FactBudget[budget_amount],FactBudget[month_start_date],DATE(2025,7,1))</x:f>
        <x:v>198837.81</x:v>
      </x:c>
      <x:c r="C27" s="53" t="n">
        <x:f>SUMIFS(FactActualExpense[actual_amount],FactActualExpense[month_start_date],DATE(2025,7,1))</x:f>
        <x:v>201209.59</x:v>
      </x:c>
      <x:c r="D27" s="53" t="n">
        <x:f>C27-B27</x:f>
        <x:v>2371.779999999999</x:v>
      </x:c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</x:row>
    <x:row r="28">
      <x:c r="A28" s="39" t="str">
        <x:f>"Aug"</x:f>
        <x:v>Aug</x:v>
      </x:c>
      <x:c r="B28" s="53" t="n">
        <x:f>SUMIFS(FactBudget[budget_amount],FactBudget[month_start_date],DATE(2025,8,1))</x:f>
        <x:v>187657.81</x:v>
      </x:c>
      <x:c r="C28" s="53" t="n">
        <x:f>SUMIFS(FactActualExpense[actual_amount],FactActualExpense[month_start_date],DATE(2025,8,1))</x:f>
        <x:v>190067.67</x:v>
      </x:c>
      <x:c r="D28" s="53" t="n">
        <x:f>C28-B28</x:f>
        <x:v>2409.860000000015</x:v>
      </x:c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</x:row>
    <x:row r="29">
      <x:c r="A29" s="39" t="str">
        <x:f>"Sep"</x:f>
        <x:v>Sep</x:v>
      </x:c>
      <x:c r="B29" s="53" t="n">
        <x:f>SUMIFS(FactBudget[budget_amount],FactBudget[month_start_date],DATE(2025,9,1))</x:f>
        <x:v>197187.81</x:v>
      </x:c>
      <x:c r="C29" s="53" t="n">
        <x:f>SUMIFS(FactActualExpense[actual_amount],FactActualExpense[month_start_date],DATE(2025,9,1))</x:f>
        <x:v>189936.62</x:v>
      </x:c>
      <x:c r="D29" s="53" t="n">
        <x:f>C29-B29</x:f>
        <x:v>-7251.189999999973</x:v>
      </x:c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</x:row>
    <x:row r="30">
      <x:c r="A30" s="39" t="str">
        <x:f>"Oct"</x:f>
        <x:v>Oct</x:v>
      </x:c>
      <x:c r="B30" s="53" t="n">
        <x:f>SUMIFS(FactBudget[budget_amount],FactBudget[month_start_date],DATE(2025,10,1))</x:f>
        <x:v>190177.81</x:v>
      </x:c>
      <x:c r="C30" s="53" t="n">
        <x:f>SUMIFS(FactActualExpense[actual_amount],FactActualExpense[month_start_date],DATE(2025,10,1))</x:f>
        <x:v>185036.76</x:v>
      </x:c>
      <x:c r="D30" s="53" t="n">
        <x:f>C30-B30</x:f>
        <x:v>-5141.049999999988</x:v>
      </x:c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</x:row>
    <x:row r="31">
      <x:c r="A31" s="39" t="str">
        <x:f>"Nov"</x:f>
        <x:v>Nov</x:v>
      </x:c>
      <x:c r="B31" s="53" t="n">
        <x:f>SUMIFS(FactBudget[budget_amount],FactBudget[month_start_date],DATE(2025,11,1))</x:f>
        <x:v>193557.81</x:v>
      </x:c>
      <x:c r="C31" s="53" t="n">
        <x:f>SUMIFS(FactActualExpense[actual_amount],FactActualExpense[month_start_date],DATE(2025,11,1))</x:f>
        <x:v>180136.25</x:v>
      </x:c>
      <x:c r="D31" s="53" t="n">
        <x:f>C31-B31</x:f>
        <x:v>-13421.559999999998</x:v>
      </x:c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</x:row>
    <x:row r="32">
      <x:c r="A32" s="39" t="str">
        <x:f>"Dec"</x:f>
        <x:v>Dec</x:v>
      </x:c>
      <x:c r="B32" s="53" t="n">
        <x:f>SUMIFS(FactBudget[budget_amount],FactBudget[month_start_date],DATE(2025,12,1))</x:f>
        <x:v>186382.81</x:v>
      </x:c>
      <x:c r="C32" s="53" t="n">
        <x:f>SUMIFS(FactActualExpense[actual_amount],FactActualExpense[month_start_date],DATE(2025,12,1))</x:f>
        <x:v>186518.79999998843</x:v>
      </x:c>
      <x:c r="D32" s="53" t="n">
        <x:f>C32-B32</x:f>
        <x:v>135.98999999993248</x:v>
      </x:c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</x:row>
    <x:row r="33">
      <x:c r="A33" s="39" t="str">
        <x:f>"Jan"</x:f>
        <x:v>Jan</x:v>
      </x:c>
      <x:c r="B33" s="53" t="n">
        <x:f>SUMIFS(FactBudget[budget_amount],FactBudget[month_start_date],DATE(2026,1,1))</x:f>
        <x:v>183117.81</x:v>
      </x:c>
      <x:c r="C33" s="53" t="n">
        <x:f>SUMIFS(FactActualExpense[actual_amount],FactActualExpense[month_start_date],DATE(2026,1,1))</x:f>
        <x:v>188808.01999998844</x:v>
      </x:c>
      <x:c r="D33" s="53" t="n">
        <x:f>C33-B33</x:f>
        <x:v>5690.209999999963</x:v>
      </x:c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</x:row>
    <x:row r="34">
      <x:c r="A34" s="39" t="str">
        <x:f>"Feb"</x:f>
        <x:v>Feb</x:v>
      </x:c>
      <x:c r="B34" s="53" t="n">
        <x:f>SUMIFS(FactBudget[budget_amount],FactBudget[month_start_date],DATE(2026,2,1))</x:f>
        <x:v>192812.81</x:v>
      </x:c>
      <x:c r="C34" s="53" t="n">
        <x:f>SUMIFS(FactActualExpense[actual_amount],FactActualExpense[month_start_date],DATE(2026,2,1))</x:f>
        <x:v>194401.07999998843</x:v>
      </x:c>
      <x:c r="D34" s="53" t="n">
        <x:f>C34-B34</x:f>
        <x:v>1588.2699999999895</x:v>
      </x:c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</x:row>
    <x:row r="35">
      <x:c r="A35" s="39" t="str">
        <x:f>"Mar"</x:f>
        <x:v>Mar</x:v>
      </x:c>
      <x:c r="B35" s="53" t="n">
        <x:f>SUMIFS(FactBudget[budget_amount],FactBudget[month_start_date],DATE(2026,3,1))</x:f>
        <x:v>192317.81</x:v>
      </x:c>
      <x:c r="C35" s="53" t="n">
        <x:f>SUMIFS(FactActualExpense[actual_amount],FactActualExpense[month_start_date],DATE(2026,3,1))</x:f>
        <x:v>188986.72999998843</x:v>
      </x:c>
      <x:c r="D35" s="53" t="n">
        <x:f>C35-B35</x:f>
        <x:v>-3331.0800000000163</x:v>
      </x:c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</x:row>
    <x:row r="36">
      <x:c r="A36" s="39" t="str">
        <x:f>"Apr"</x:f>
        <x:v>Apr</x:v>
      </x:c>
      <x:c r="B36" s="53" t="n">
        <x:f>SUMIFS(FactBudget[budget_amount],FactBudget[month_start_date],DATE(2026,4,1))</x:f>
        <x:v>197357.81</x:v>
      </x:c>
      <x:c r="C36" s="53" t="n">
        <x:f>SUMIFS(FactActualExpense[actual_amount],FactActualExpense[month_start_date],DATE(2026,4,1))</x:f>
        <x:v>196814.69999998843</x:v>
      </x:c>
      <x:c r="D36" s="53" t="n">
        <x:f>C36-B36</x:f>
        <x:v>-543.1100000000151</x:v>
      </x:c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</x:row>
    <x:row r="37">
      <x:c r="A37" s="39" t="str">
        <x:f>"May"</x:f>
        <x:v>May</x:v>
      </x:c>
      <x:c r="B37" s="53" t="n">
        <x:f>SUMIFS(FactBudget[budget_amount],FactBudget[month_start_date],DATE(2026,5,1))</x:f>
        <x:v>187847.81</x:v>
      </x:c>
      <x:c r="C37" s="53" t="n">
        <x:f>SUMIFS(FactActualExpense[actual_amount],FactActualExpense[month_start_date],DATE(2026,5,1))</x:f>
        <x:v>181927.39999998844</x:v>
      </x:c>
      <x:c r="D37" s="53" t="n">
        <x:f>C37-B37</x:f>
        <x:v>-5920.410000000033</x:v>
      </x:c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</x:row>
    <x:row r="38">
      <x:c r="A38" s="39" t="str">
        <x:f>"Jun"</x:f>
        <x:v>Jun</x:v>
      </x:c>
      <x:c r="B38" s="53" t="n">
        <x:f>SUMIFS(FactBudget[budget_amount],FactBudget[month_start_date],DATE(2026,6,1))</x:f>
        <x:v>185157.81</x:v>
      </x:c>
      <x:c r="C38" s="53" t="n">
        <x:f>SUMIFS(FactActualExpense[actual_amount],FactActualExpense[month_start_date],DATE(2026,6,1))</x:f>
        <x:v>183031.53999998842</x:v>
      </x:c>
      <x:c r="D38" s="53" t="n">
        <x:f>C38-B38</x:f>
        <x:v>-2126.2700000000186</x:v>
      </x:c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</x:row>
  </x:sheetData>
  <x:mergeCells>
    <x:mergeCell ref="A1:H1"/>
  </x:mergeCells>
  <x:conditionalFormatting sqref="G4:G22">
    <x:cfRule type="expression" dxfId="0" priority="1">
      <x:formula>G4="High"</x:formula>
    </x:cfRule>
    <x:cfRule type="expression" dxfId="1" priority="2">
      <x:formula>G4="Medium"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.049999237060547" hidden="0" customWidth="1"/>
    <x:col min="2" max="2" width="28" hidden="0" customWidth="1"/>
    <x:col min="3" max="3" width="14" hidden="0" customWidth="1"/>
    <x:col min="4" max="4" width="13.319999694824219" hidden="0" customWidth="1"/>
    <x:col min="5" max="5" width="8.210000038146973" hidden="0" customWidth="1"/>
    <x:col min="6" max="6" width="7.269999980926514" hidden="0" customWidth="1"/>
    <x:col min="7" max="7" width="9.6899995803833" hidden="0" customWidth="1"/>
    <x:col min="8" max="8" width="12.109999656677246" hidden="0" customWidth="1"/>
    <x:col min="9" max="9" width="10.630000114440918" hidden="0" customWidth="1"/>
    <x:col min="10" max="10" width="9.149999618530273" hidden="0" customWidth="1"/>
    <x:col min="11" max="11" width="6.730000019073486" hidden="0" customWidth="1"/>
  </x:cols>
  <x:sheetData>
    <x:row r="1">
      <x:c r="A1" s="73" t="str">
        <x:v>Grant Portfolio Tracker — FY2025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0"/>
      <x:c r="L1" s="70"/>
      <x:c r="M1" s="70"/>
      <x:c r="N1" s="70"/>
      <x:c r="O1" s="70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>
      <x:c r="A3" s="51" t="str">
        <x:v>Grant ID</x:v>
      </x:c>
      <x:c r="B3" s="51" t="str">
        <x:v>Award Title</x:v>
      </x:c>
      <x:c r="C3" s="51" t="str">
        <x:v>PI</x:v>
      </x:c>
      <x:c r="D3" s="51" t="str">
        <x:v>Agency</x:v>
      </x:c>
      <x:c r="E3" s="51" t="str">
        <x:v>Start Date</x:v>
      </x:c>
      <x:c r="F3" s="51" t="str">
        <x:v>End Date</x:v>
      </x:c>
      <x:c r="G3" s="51" t="str">
        <x:v>Total Award</x:v>
      </x:c>
      <x:c r="H3" s="51" t="str">
        <x:v>FY2025 Budget</x:v>
      </x:c>
      <x:c r="I3" s="51" t="str">
        <x:v>Actual Spend</x:v>
      </x:c>
      <x:c r="J3" s="51" t="str">
        <x:v>Spend Rate</x:v>
      </x:c>
      <x:c r="K3" s="51" t="str">
        <x:v>Risk</x:v>
      </x:c>
      <x:c r="L3" s="39"/>
      <x:c r="M3" s="39"/>
      <x:c r="N3" s="39"/>
      <x:c r="O3" s="39"/>
    </x:row>
    <x:row r="4">
      <x:c r="A4" s="39" t="str">
        <x:v>R01-HL145821</x:v>
      </x:c>
      <x:c r="B4" s="39" t="str">
        <x:v>Cardiac Biomarker Discovery</x:v>
      </x:c>
      <x:c r="C4" s="39" t="str">
        <x:v>Dr. Sarah Chen</x:v>
      </x:c>
      <x:c r="D4" s="39" t="str">
        <x:v>NIH/NHLBI</x:v>
      </x:c>
      <x:c r="E4" s="39" t="n">
        <x:v>44805</x:v>
      </x:c>
      <x:c r="F4" s="39" t="n">
        <x:v>46630</x:v>
      </x:c>
      <x:c r="G4" s="53" t="n">
        <x:v>2850000</x:v>
      </x:c>
      <x:c r="H4" s="53" t="n">
        <x:v>485000</x:v>
      </x:c>
      <x:c r="I4" s="53" t="n">
        <x:f>SUMIFS(FactActualExpense[actual_amount],FactActualExpense[grant_id],A4)</x:f>
        <x:v>284432.3900000001</x:v>
      </x:c>
      <x:c r="J4" s="52" t="n">
        <x:f>IFERROR(I4/H4,0)</x:f>
        <x:v>0.5864585360824743</x:v>
      </x:c>
      <x:c r="K4" s="39" t="str">
        <x:f>IF(J4&gt;=1,"High",IF(J4&gt;=0.85,"Medium","Low"))</x:f>
        <x:v>Low</x:v>
      </x:c>
      <x:c r="L4" s="39"/>
      <x:c r="M4" s="39"/>
      <x:c r="N4" s="39"/>
      <x:c r="O4" s="39"/>
    </x:row>
    <x:row r="5">
      <x:c r="A5" s="39" t="str">
        <x:v>R01-CA198765</x:v>
      </x:c>
      <x:c r="B5" s="39" t="str">
        <x:v>Oncology Pathway Analysis</x:v>
      </x:c>
      <x:c r="C5" s="39" t="str">
        <x:v>Dr. Marcus Webb</x:v>
      </x:c>
      <x:c r="D5" s="39" t="str">
        <x:v>NIH/NCI</x:v>
      </x:c>
      <x:c r="E5" s="39" t="n">
        <x:v>44348</x:v>
      </x:c>
      <x:c r="F5" s="39" t="n">
        <x:v>46173</x:v>
      </x:c>
      <x:c r="G5" s="53" t="n">
        <x:v>1950000</x:v>
      </x:c>
      <x:c r="H5" s="53" t="n">
        <x:v>375000</x:v>
      </x:c>
      <x:c r="I5" s="53" t="n">
        <x:f>SUMIFS(FactActualExpense[actual_amount],FactActualExpense[grant_id],A5)</x:f>
        <x:v>359893.68000000005</x:v>
      </x:c>
      <x:c r="J5" s="52" t="n">
        <x:f>IFERROR(I5/H5,0)</x:f>
        <x:v>0.9597164800000001</x:v>
      </x:c>
      <x:c r="K5" s="39" t="str">
        <x:f>IF(J5&gt;=1,"High",IF(J5&gt;=0.85,"Medium","Low"))</x:f>
        <x:v>Medium</x:v>
      </x:c>
      <x:c r="L5" s="39"/>
      <x:c r="M5" s="39"/>
      <x:c r="N5" s="39"/>
      <x:c r="O5" s="39"/>
    </x:row>
    <x:row r="6">
      <x:c r="A6" s="39" t="str">
        <x:v>K99-AG054321</x:v>
      </x:c>
      <x:c r="B6" s="39" t="str">
        <x:v>Aging &amp; Neuroplasticity</x:v>
      </x:c>
      <x:c r="C6" s="39" t="str">
        <x:v>Dr. Priya Nair</x:v>
      </x:c>
      <x:c r="D6" s="39" t="str">
        <x:v>NIH/NIA</x:v>
      </x:c>
      <x:c r="E6" s="39" t="n">
        <x:v>44927</x:v>
      </x:c>
      <x:c r="F6" s="39" t="n">
        <x:v>46022</x:v>
      </x:c>
      <x:c r="G6" s="53" t="n">
        <x:v>485000</x:v>
      </x:c>
      <x:c r="H6" s="53" t="n">
        <x:v>145000</x:v>
      </x:c>
      <x:c r="I6" s="53" t="n">
        <x:f>SUMIFS(FactActualExpense[actual_amount],FactActualExpense[grant_id],A6)</x:f>
        <x:v>212535.62</x:v>
      </x:c>
      <x:c r="J6" s="52" t="n">
        <x:f>IFERROR(I6/H6,0)</x:f>
        <x:v>1.4657628965517242</x:v>
      </x:c>
      <x:c r="K6" s="39" t="str">
        <x:f>IF(J6&gt;=1,"High",IF(J6&gt;=0.85,"Medium","Low"))</x:f>
        <x:v>High</x:v>
      </x:c>
      <x:c r="L6" s="39"/>
      <x:c r="M6" s="39"/>
      <x:c r="N6" s="39"/>
      <x:c r="O6" s="39"/>
    </x:row>
    <x:row r="7">
      <x:c r="A7" s="39" t="str">
        <x:v>NSF-2234567</x:v>
      </x:c>
      <x:c r="B7" s="39" t="str">
        <x:v>Computational Bio Methods</x:v>
      </x:c>
      <x:c r="C7" s="39" t="str">
        <x:v>Dr. James Okafor</x:v>
      </x:c>
      <x:c r="D7" s="39" t="str">
        <x:v>NSF</x:v>
      </x:c>
      <x:c r="E7" s="39" t="n">
        <x:v>44621</x:v>
      </x:c>
      <x:c r="F7" s="39" t="n">
        <x:v>45716</x:v>
      </x:c>
      <x:c r="G7" s="53" t="n">
        <x:v>620000</x:v>
      </x:c>
      <x:c r="H7" s="53" t="n">
        <x:v>165000</x:v>
      </x:c>
      <x:c r="I7" s="53" t="n">
        <x:f>SUMIFS(FactActualExpense[actual_amount],FactActualExpense[grant_id],A7)</x:f>
        <x:v>246346.53999999992</x:v>
      </x:c>
      <x:c r="J7" s="52" t="n">
        <x:f>IFERROR(I7/H7,0)</x:f>
        <x:v>1.4930093333333327</x:v>
      </x:c>
      <x:c r="K7" s="39" t="str">
        <x:f>IF(J7&gt;=1,"High",IF(J7&gt;=0.85,"Medium","Low"))</x:f>
        <x:v>High</x:v>
      </x:c>
      <x:c r="L7" s="39"/>
      <x:c r="M7" s="39"/>
      <x:c r="N7" s="39"/>
      <x:c r="O7" s="39"/>
    </x:row>
    <x:row r="8">
      <x:c r="A8" s="39" t="str">
        <x:v>PCORI-12345</x:v>
      </x:c>
      <x:c r="B8" s="39" t="str">
        <x:v>Patient Outcomes Research</x:v>
      </x:c>
      <x:c r="C8" s="39" t="str">
        <x:v>Dr. Sarah Chen</x:v>
      </x:c>
      <x:c r="D8" s="39" t="str">
        <x:v>PCORI</x:v>
      </x:c>
      <x:c r="E8" s="39" t="n">
        <x:v>45108</x:v>
      </x:c>
      <x:c r="F8" s="39" t="n">
        <x:v>46203</x:v>
      </x:c>
      <x:c r="G8" s="53" t="n">
        <x:v>730000</x:v>
      </x:c>
      <x:c r="H8" s="53" t="n">
        <x:v>220000</x:v>
      </x:c>
      <x:c r="I8" s="53" t="n">
        <x:f>SUMIFS(FactActualExpense[actual_amount],FactActualExpense[grant_id],A8)</x:f>
        <x:v>369468.73</x:v>
      </x:c>
      <x:c r="J8" s="52" t="n">
        <x:f>IFERROR(I8/H8,0)</x:f>
        <x:v>1.6794033181818182</x:v>
      </x:c>
      <x:c r="K8" s="39" t="str">
        <x:f>IF(J8&gt;=1,"High",IF(J8&gt;=0.85,"Medium","Low"))</x:f>
        <x:v>High</x:v>
      </x:c>
      <x:c r="L8" s="39"/>
      <x:c r="M8" s="39"/>
      <x:c r="N8" s="39"/>
      <x:c r="O8" s="39"/>
    </x:row>
    <x:row r="9">
      <x:c r="A9" s="39" t="str">
        <x:v>FDTN-CZ-891</x:v>
      </x:c>
      <x:c r="B9" s="39" t="str">
        <x:v>Pediatric Research Initiative</x:v>
      </x:c>
      <x:c r="C9" s="39" t="str">
        <x:v>Dr. Elena Vasquez</x:v>
      </x:c>
      <x:c r="D9" s="39" t="str">
        <x:v>Chan Zuckerberg</x:v>
      </x:c>
      <x:c r="E9" s="39" t="n">
        <x:v>45292</x:v>
      </x:c>
      <x:c r="F9" s="39" t="n">
        <x:v>46387</x:v>
      </x:c>
      <x:c r="G9" s="53" t="n">
        <x:v>500000</x:v>
      </x:c>
      <x:c r="H9" s="53" t="n">
        <x:v>180000</x:v>
      </x:c>
      <x:c r="I9" s="53" t="n">
        <x:f>SUMIFS(FactActualExpense[actual_amount],FactActualExpense[grant_id],A9)</x:f>
        <x:v>326503.32000000007</x:v>
      </x:c>
      <x:c r="J9" s="52" t="n">
        <x:f>IFERROR(I9/H9,0)</x:f>
        <x:v>1.8139073333333338</x:v>
      </x:c>
      <x:c r="K9" s="39" t="str">
        <x:f>IF(J9&gt;=1,"High",IF(J9&gt;=0.85,"Medium","Low"))</x:f>
        <x:v>High</x:v>
      </x:c>
      <x:c r="L9" s="39"/>
      <x:c r="M9" s="39"/>
      <x:c r="N9" s="39"/>
      <x:c r="O9" s="39"/>
    </x:row>
    <x:row r="10">
      <x:c r="A10" s="39" t="str">
        <x:v>DOD-W81XWH</x:v>
      </x:c>
      <x:c r="B10" s="39" t="str">
        <x:v>Defense Medical Research</x:v>
      </x:c>
      <x:c r="C10" s="39" t="str">
        <x:v>Lab Team</x:v>
      </x:c>
      <x:c r="D10" s="39" t="str">
        <x:v>DoD/CDMRP</x:v>
      </x:c>
      <x:c r="E10" s="39" t="n">
        <x:v>45017</x:v>
      </x:c>
      <x:c r="F10" s="39" t="n">
        <x:v>46112</x:v>
      </x:c>
      <x:c r="G10" s="53" t="n">
        <x:v>425000</x:v>
      </x:c>
      <x:c r="H10" s="53" t="n">
        <x:v>125000</x:v>
      </x:c>
      <x:c r="I10" s="53" t="n">
        <x:f>SUMIFS(FactActualExpense[actual_amount],FactActualExpense[grant_id],A10)</x:f>
        <x:v>467694.88000000006</x:v>
      </x:c>
      <x:c r="J10" s="52" t="n">
        <x:f>IFERROR(I10/H10,0)</x:f>
        <x:v>3.7415590400000007</x:v>
      </x:c>
      <x:c r="K10" s="39" t="str">
        <x:f>IF(J10&gt;=1,"High",IF(J10&gt;=0.85,"Medium","Low"))</x:f>
        <x:v>High</x:v>
      </x:c>
      <x:c r="L10" s="39"/>
      <x:c r="M10" s="39"/>
      <x:c r="N10" s="39"/>
      <x:c r="O10" s="39"/>
    </x:row>
    <x:row r="11">
      <x:c r="A11" s="60" t="str">
        <x:v>PORTFOLIO TOTAL</x:v>
      </x:c>
      <x:c r="B11" s="60" t="str"/>
      <x:c r="C11" s="60" t="str"/>
      <x:c r="D11" s="60" t="str"/>
      <x:c r="E11" s="60" t="str"/>
      <x:c r="F11" s="60" t="str"/>
      <x:c r="G11" s="61" t="n">
        <x:f>SUM(G4:G10)</x:f>
        <x:v>7560000</x:v>
      </x:c>
      <x:c r="H11" s="61" t="n">
        <x:f>SUM(H4:H10)</x:f>
        <x:v>1695000</x:v>
      </x:c>
      <x:c r="I11" s="61" t="n">
        <x:f>SUM(I4:I10)</x:f>
        <x:v>2266875.16</x:v>
      </x:c>
      <x:c r="J11" s="62" t="n">
        <x:f>IFERROR(I11/H11,0)</x:f>
        <x:v>1.3373894749262538</x:v>
      </x:c>
      <x:c r="K11" s="60"/>
      <x:c r="L11" s="39"/>
      <x:c r="M11" s="39"/>
      <x:c r="N11" s="39"/>
      <x:c r="O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</x:row>
  </x:sheetData>
  <x:mergeCells>
    <x:mergeCell ref="A1:J1"/>
  </x:mergeCells>
  <x:conditionalFormatting sqref="K4:K10">
    <x:cfRule type="expression" dxfId="2" priority="1">
      <x:formula>K4="High"</x:formula>
    </x:cfRule>
    <x:cfRule type="expression" dxfId="3" priority="2">
      <x:formula>K4="Medium"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7.470001220703125" hidden="0" customWidth="1"/>
    <x:col min="2" max="2" width="7.269999980926514" hidden="0" customWidth="1"/>
    <x:col min="3" max="3" width="33.779998779296875" hidden="0" customWidth="1"/>
    <x:col min="4" max="4" width="10.630000114440918" hidden="0" customWidth="1"/>
    <x:col min="5" max="5" width="8.479999542236328" hidden="0" customWidth="1"/>
    <x:col min="6" max="6" width="8.880000114440918" hidden="0" customWidth="1"/>
    <x:col min="7" max="7" width="6.860000133514404" hidden="0" customWidth="1"/>
    <x:col min="8" max="8" width="32" hidden="0" customWidth="1"/>
  </x:cols>
  <x:sheetData>
    <x:row r="1">
      <x:c r="A1" s="73" t="str">
        <x:v>Executive Budget Dashboard — Columbia Biomedical Research FY2025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0"/>
      <x:c r="N1" s="70"/>
      <x:c r="O1" s="70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>
      <x:c r="A3" s="51" t="str">
        <x:v>KPI</x:v>
      </x:c>
      <x:c r="B3" s="51" t="str">
        <x:v>Value</x:v>
      </x:c>
      <x:c r="C3" s="51" t="str">
        <x:v>Interpretation</x:v>
      </x:c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>
      <x:c r="A4" s="42" t="str">
        <x:v>Total Budget</x:v>
      </x:c>
      <x:c r="B4" s="53" t="n">
        <x:f>'05_Analysis'!C23</x:f>
        <x:v>2292413.7199999997</x:v>
      </x:c>
      <x:c r="C4" s="39" t="str">
        <x:v>Approved FY operating plan</x:v>
      </x:c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</x:row>
    <x:row r="5">
      <x:c r="A5" s="42" t="str">
        <x:v>Actual Spend</x:v>
      </x:c>
      <x:c r="B5" s="53" t="n">
        <x:f>'05_Analysis'!D23</x:f>
        <x:v>2266875.16</x:v>
      </x:c>
      <x:c r="C5" s="39" t="str">
        <x:v>Spend captured from actual expense table</x:v>
      </x:c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</x:row>
    <x:row r="6">
      <x:c r="A6" s="42" t="str">
        <x:v>Variance $</x:v>
      </x:c>
      <x:c r="B6" s="53" t="n">
        <x:f>'05_Analysis'!E23</x:f>
        <x:v>-25538.55999999959</x:v>
      </x:c>
      <x:c r="C6" s="39" t="str">
        <x:v>Positive = overspend</x:v>
      </x:c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</x:row>
    <x:row r="7">
      <x:c r="A7" s="42" t="str">
        <x:v>Variance %</x:v>
      </x:c>
      <x:c r="B7" s="52" t="n">
        <x:f>'05_Analysis'!F23</x:f>
        <x:v>-0.011140467262601967</x:v>
      </x:c>
      <x:c r="C7" s="39" t="str">
        <x:v>Actual vs budget</x:v>
      </x:c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</x:row>
    <x:row r="8">
      <x:c r="A8" s="42" t="str">
        <x:v>High Risk Grants</x:v>
      </x:c>
      <x:c r="B8" s="39" t="n">
        <x:f>COUNTIF('06_Grant_Tracker'!K4:K10,"High")</x:f>
        <x:v>5</x:v>
      </x:c>
      <x:c r="C8" s="39" t="str">
        <x:v>Grants with spend rate ≥ 100%</x:v>
      </x:c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</x:row>
    <x:row r="10">
      <x:c r="A10" s="50" t="str">
        <x:v>Top Variance Categories</x:v>
      </x:c>
      <x:c r="B10" s="50" t="str"/>
      <x:c r="C10" s="50" t="str"/>
      <x:c r="D10" s="50" t="str"/>
      <x:c r="E10" s="50" t="str"/>
      <x:c r="F10" s="50" t="str"/>
      <x:c r="G10" s="50" t="str"/>
      <x:c r="H10" s="50" t="str"/>
      <x:c r="I10" s="39"/>
      <x:c r="J10" s="39"/>
      <x:c r="K10" s="39"/>
      <x:c r="L10" s="39"/>
      <x:c r="M10" s="39"/>
      <x:c r="N10" s="39"/>
      <x:c r="O10" s="39"/>
    </x:row>
    <x:row r="11">
      <x:c r="A11" s="51" t="str">
        <x:v>Cost Group</x:v>
      </x:c>
      <x:c r="B11" s="51" t="str">
        <x:v>Category</x:v>
      </x:c>
      <x:c r="C11" s="51" t="str">
        <x:v>Annual Budget</x:v>
      </x:c>
      <x:c r="D11" s="51" t="str">
        <x:v>Actual Spend</x:v>
      </x:c>
      <x:c r="E11" s="51" t="str">
        <x:v>Variance $</x:v>
      </x:c>
      <x:c r="F11" s="51" t="str">
        <x:v>Variance %</x:v>
      </x:c>
      <x:c r="G11" s="51" t="str">
        <x:v>Risk</x:v>
      </x:c>
      <x:c r="H11" s="51" t="str">
        <x:v>Action Recommendation</x:v>
      </x:c>
      <x:c r="I11" s="39"/>
      <x:c r="J11" s="39"/>
      <x:c r="K11" s="39"/>
      <x:c r="L11" s="39"/>
      <x:c r="M11" s="39"/>
      <x:c r="N11" s="39"/>
      <x:c r="O11" s="39"/>
    </x:row>
    <x:row r="12">
      <x:c r="A12" s="39" t="str">
        <x:f>'05_Analysis'!A5</x:f>
        <x:v>Laboratory Operations</x:v>
      </x:c>
      <x:c r="B12" s="39" t="str">
        <x:f>'05_Analysis'!B5</x:f>
        <x:v>Lab Supplies &amp; Reagents</x:v>
      </x:c>
      <x:c r="C12" s="53" t="n">
        <x:f>'05_Analysis'!C5</x:f>
        <x:v>192000</x:v>
      </x:c>
      <x:c r="D12" s="53" t="n">
        <x:f>'05_Analysis'!D5</x:f>
        <x:v>229894.15999999997</x:v>
      </x:c>
      <x:c r="E12" s="53" t="n">
        <x:f>'05_Analysis'!E5</x:f>
        <x:v>37894.159999999974</x:v>
      </x:c>
      <x:c r="F12" s="52" t="n">
        <x:f>'05_Analysis'!F5</x:f>
        <x:v>0.19736541666666654</x:v>
      </x:c>
      <x:c r="G12" s="39" t="str">
        <x:f>'05_Analysis'!G5</x:f>
        <x:v>High</x:v>
      </x:c>
      <x:c r="H12" s="39" t="str">
        <x:f>'05_Analysis'!H5</x:f>
        <x:v>Investigate immediately / reforecast</x:v>
      </x:c>
      <x:c r="I12" s="39"/>
      <x:c r="J12" s="39"/>
      <x:c r="K12" s="39"/>
      <x:c r="L12" s="39"/>
      <x:c r="M12" s="39"/>
      <x:c r="N12" s="39"/>
      <x:c r="O12" s="39"/>
    </x:row>
    <x:row r="13">
      <x:c r="A13" s="39" t="str">
        <x:f>'05_Analysis'!A13</x:f>
        <x:v>Research &amp; Scientific</x:v>
      </x:c>
      <x:c r="B13" s="39" t="str">
        <x:f>'05_Analysis'!B13</x:f>
        <x:v>Publication &amp; Open Access Fees</x:v>
      </x:c>
      <x:c r="C13" s="53" t="n">
        <x:f>'05_Analysis'!C13</x:f>
        <x:v>9500</x:v>
      </x:c>
      <x:c r="D13" s="53" t="n">
        <x:f>'05_Analysis'!D13</x:f>
        <x:v>11626.619999999999</x:v>
      </x:c>
      <x:c r="E13" s="53" t="n">
        <x:f>'05_Analysis'!E13</x:f>
        <x:v>2126.619999999999</x:v>
      </x:c>
      <x:c r="F13" s="52" t="n">
        <x:f>'05_Analysis'!F13</x:f>
        <x:v>0.22385473684210516</x:v>
      </x:c>
      <x:c r="G13" s="39" t="str">
        <x:f>'05_Analysis'!G13</x:f>
        <x:v>High</x:v>
      </x:c>
      <x:c r="H13" s="39" t="str">
        <x:f>'05_Analysis'!H13</x:f>
        <x:v>Investigate immediately / reforecast</x:v>
      </x:c>
      <x:c r="I13" s="39"/>
      <x:c r="J13" s="39"/>
      <x:c r="K13" s="39"/>
      <x:c r="L13" s="39"/>
      <x:c r="M13" s="39"/>
      <x:c r="N13" s="39"/>
      <x:c r="O13" s="39"/>
    </x:row>
    <x:row r="14">
      <x:c r="A14" s="39" t="str">
        <x:f>'05_Analysis'!A14</x:f>
        <x:v>Research &amp; Scientific</x:v>
      </x:c>
      <x:c r="B14" s="39" t="str">
        <x:f>'05_Analysis'!B14</x:f>
        <x:v>Research Computing / HPC</x:v>
      </x:c>
      <x:c r="C14" s="53" t="n">
        <x:f>'05_Analysis'!C14</x:f>
        <x:v>18000</x:v>
      </x:c>
      <x:c r="D14" s="53" t="n">
        <x:f>'05_Analysis'!D14</x:f>
        <x:v>21147.07</x:v>
      </x:c>
      <x:c r="E14" s="53" t="n">
        <x:f>'05_Analysis'!E14</x:f>
        <x:v>3147.0699999999997</x:v>
      </x:c>
      <x:c r="F14" s="52" t="n">
        <x:f>'05_Analysis'!F14</x:f>
        <x:v>0.1748372222222222</x:v>
      </x:c>
      <x:c r="G14" s="39" t="str">
        <x:f>'05_Analysis'!G14</x:f>
        <x:v>High</x:v>
      </x:c>
      <x:c r="H14" s="39" t="str">
        <x:f>'05_Analysis'!H14</x:f>
        <x:v>Investigate immediately / reforecast</x:v>
      </x:c>
      <x:c r="I14" s="39"/>
      <x:c r="J14" s="39"/>
      <x:c r="K14" s="39"/>
      <x:c r="L14" s="39"/>
      <x:c r="M14" s="39"/>
      <x:c r="N14" s="39"/>
      <x:c r="O14" s="39"/>
    </x:row>
    <x:row r="15">
      <x:c r="A15" s="39" t="str">
        <x:f>'05_Analysis'!A8</x:f>
        <x:v>Laboratory Operations</x:v>
      </x:c>
      <x:c r="B15" s="39" t="str">
        <x:f>'05_Analysis'!B8</x:f>
        <x:v>Core Facility Usage Fees</x:v>
      </x:c>
      <x:c r="C15" s="53" t="n">
        <x:f>'05_Analysis'!C8</x:f>
        <x:v>35000.03999999999</x:v>
      </x:c>
      <x:c r="D15" s="53" t="n">
        <x:f>'05_Analysis'!D8</x:f>
        <x:v>39816.96</x:v>
      </x:c>
      <x:c r="E15" s="53" t="n">
        <x:f>'05_Analysis'!E8</x:f>
        <x:v>4816.9200000000055</x:v>
      </x:c>
      <x:c r="F15" s="52" t="n">
        <x:f>'05_Analysis'!F8</x:f>
        <x:v>0.13762612842728197</x:v>
      </x:c>
      <x:c r="G15" s="39" t="str">
        <x:f>'05_Analysis'!G8</x:f>
        <x:v>Medium</x:v>
      </x:c>
      <x:c r="H15" s="39" t="str">
        <x:f>'05_Analysis'!H8</x:f>
        <x:v>Monitor and validate driver</x:v>
      </x:c>
      <x:c r="I15" s="39"/>
      <x:c r="J15" s="39"/>
      <x:c r="K15" s="39"/>
      <x:c r="L15" s="39"/>
      <x:c r="M15" s="39"/>
      <x:c r="N15" s="39"/>
      <x:c r="O15" s="39"/>
    </x:row>
    <x:row r="16">
      <x:c r="A16" s="39" t="str">
        <x:f>'05_Analysis'!A15</x:f>
        <x:v>Administrative &amp; Travel</x:v>
      </x:c>
      <x:c r="B16" s="39" t="str">
        <x:f>'05_Analysis'!B15</x:f>
        <x:v>Domestic Conference &amp; Travel</x:v>
      </x:c>
      <x:c r="C16" s="53" t="n">
        <x:f>'05_Analysis'!C15</x:f>
        <x:v>28000</x:v>
      </x:c>
      <x:c r="D16" s="53" t="n">
        <x:f>'05_Analysis'!D15</x:f>
        <x:v>17651.670000000002</x:v>
      </x:c>
      <x:c r="E16" s="53" t="n">
        <x:f>'05_Analysis'!E15</x:f>
        <x:v>-10348.329999999998</x:v>
      </x:c>
      <x:c r="F16" s="52" t="n">
        <x:f>'05_Analysis'!F15</x:f>
        <x:v>-0.3695832142857142</x:v>
      </x:c>
      <x:c r="G16" s="39" t="str">
        <x:f>'05_Analysis'!G15</x:f>
        <x:v>Low</x:v>
      </x:c>
      <x:c r="H16" s="39" t="str">
        <x:f>'05_Analysis'!H15</x:f>
        <x:v>No action beyond monthly review</x:v>
      </x:c>
      <x:c r="I16" s="39"/>
      <x:c r="J16" s="39"/>
      <x:c r="K16" s="39"/>
      <x:c r="L16" s="39"/>
      <x:c r="M16" s="39"/>
      <x:c r="N16" s="39"/>
      <x:c r="O16" s="39"/>
    </x:row>
    <x:row r="17">
      <x:c r="A17" s="39" t="str">
        <x:f>'05_Analysis'!A10</x:f>
        <x:v>Research &amp; Scientific</x:v>
      </x:c>
      <x:c r="B17" s="39" t="str">
        <x:f>'05_Analysis'!B10</x:f>
        <x:v>Subcontracts &amp; Consultants</x:v>
      </x:c>
      <x:c r="C17" s="53" t="n">
        <x:f>'05_Analysis'!C10</x:f>
        <x:v>72000</x:v>
      </x:c>
      <x:c r="D17" s="53" t="n">
        <x:f>'05_Analysis'!D10</x:f>
        <x:v>64962.02</x:v>
      </x:c>
      <x:c r="E17" s="53" t="n">
        <x:f>'05_Analysis'!E10</x:f>
        <x:v>-7037.980000000003</x:v>
      </x:c>
      <x:c r="F17" s="52" t="n">
        <x:f>'05_Analysis'!F10</x:f>
        <x:v>-0.09774972222222227</x:v>
      </x:c>
      <x:c r="G17" s="39" t="str">
        <x:f>'05_Analysis'!G10</x:f>
        <x:v>Low</x:v>
      </x:c>
      <x:c r="H17" s="39" t="str">
        <x:f>'05_Analysis'!H10</x:f>
        <x:v>No action beyond monthly review</x:v>
      </x:c>
      <x:c r="I17" s="39"/>
      <x:c r="J17" s="39"/>
      <x:c r="K17" s="39"/>
      <x:c r="L17" s="39"/>
      <x:c r="M17" s="39"/>
      <x:c r="N17" s="39"/>
      <x:c r="O17" s="39"/>
    </x:row>
    <x:row r="18">
      <x:c r="A18" s="39" t="str">
        <x:f>'05_Analysis'!A22</x:f>
        <x:v>Indirect Costs &amp; Reserves</x:v>
      </x:c>
      <x:c r="B18" s="39" t="str">
        <x:f>'05_Analysis'!B22</x:f>
        <x:v>Contingency Reserve (3%)</x:v>
      </x:c>
      <x:c r="C18" s="53" t="n">
        <x:f>'05_Analysis'!C22</x:f>
        <x:v>53106.12000000002</x:v>
      </x:c>
      <x:c r="D18" s="53" t="n">
        <x:f>'05_Analysis'!D22</x:f>
        <x:v>7534.139999999999</x:v>
      </x:c>
      <x:c r="E18" s="53" t="n">
        <x:f>'05_Analysis'!E22</x:f>
        <x:v>-45571.98000000002</x:v>
      </x:c>
      <x:c r="F18" s="52" t="n">
        <x:f>'05_Analysis'!F22</x:f>
        <x:v>-0.8581304753576424</x:v>
      </x:c>
      <x:c r="G18" s="39" t="str">
        <x:f>'05_Analysis'!G22</x:f>
        <x:v>Low</x:v>
      </x:c>
      <x:c r="H18" s="39" t="str">
        <x:f>'05_Analysis'!H22</x:f>
        <x:v>No action beyond monthly review</x:v>
      </x:c>
      <x:c r="I18" s="39"/>
      <x:c r="J18" s="39"/>
      <x:c r="K18" s="39"/>
      <x:c r="L18" s="39"/>
      <x:c r="M18" s="39"/>
      <x:c r="N18" s="39"/>
      <x:c r="O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</x:row>
    <x:row r="21">
      <x:c r="A21" s="51" t="str">
        <x:v>Month</x:v>
      </x:c>
      <x:c r="B21" s="51" t="str">
        <x:v>Budget</x:v>
      </x:c>
      <x:c r="C21" s="51" t="str">
        <x:v>Actual</x:v>
      </x:c>
      <x:c r="D21" s="51" t="str">
        <x:v>Variance</x:v>
      </x:c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</x:row>
    <x:row r="22">
      <x:c r="A22" s="39" t="str">
        <x:f>'05_Analysis'!A27</x:f>
        <x:v>Jul</x:v>
      </x:c>
      <x:c r="B22" s="53" t="n">
        <x:f>'05_Analysis'!B27</x:f>
        <x:v>198837.81</x:v>
      </x:c>
      <x:c r="C22" s="53" t="n">
        <x:f>'05_Analysis'!C27</x:f>
        <x:v>201209.59</x:v>
      </x:c>
      <x:c r="D22" s="53" t="n">
        <x:f>'05_Analysis'!D27</x:f>
        <x:v>2371.779999999999</x:v>
      </x:c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</x:row>
    <x:row r="23">
      <x:c r="A23" s="39" t="str">
        <x:f>'05_Analysis'!A28</x:f>
        <x:v>Aug</x:v>
      </x:c>
      <x:c r="B23" s="53" t="n">
        <x:f>'05_Analysis'!B28</x:f>
        <x:v>187657.81</x:v>
      </x:c>
      <x:c r="C23" s="53" t="n">
        <x:f>'05_Analysis'!C28</x:f>
        <x:v>190067.67</x:v>
      </x:c>
      <x:c r="D23" s="53" t="n">
        <x:f>'05_Analysis'!D28</x:f>
        <x:v>2409.860000000015</x:v>
      </x:c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</x:row>
    <x:row r="24">
      <x:c r="A24" s="39" t="str">
        <x:f>'05_Analysis'!A29</x:f>
        <x:v>Sep</x:v>
      </x:c>
      <x:c r="B24" s="53" t="n">
        <x:f>'05_Analysis'!B29</x:f>
        <x:v>197187.81</x:v>
      </x:c>
      <x:c r="C24" s="53" t="n">
        <x:f>'05_Analysis'!C29</x:f>
        <x:v>189936.62</x:v>
      </x:c>
      <x:c r="D24" s="53" t="n">
        <x:f>'05_Analysis'!D29</x:f>
        <x:v>-7251.189999999973</x:v>
      </x:c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</x:row>
    <x:row r="25">
      <x:c r="A25" s="39" t="str">
        <x:f>'05_Analysis'!A30</x:f>
        <x:v>Oct</x:v>
      </x:c>
      <x:c r="B25" s="53" t="n">
        <x:f>'05_Analysis'!B30</x:f>
        <x:v>190177.81</x:v>
      </x:c>
      <x:c r="C25" s="53" t="n">
        <x:f>'05_Analysis'!C30</x:f>
        <x:v>185036.76</x:v>
      </x:c>
      <x:c r="D25" s="53" t="n">
        <x:f>'05_Analysis'!D30</x:f>
        <x:v>-5141.049999999988</x:v>
      </x:c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</x:row>
    <x:row r="26">
      <x:c r="A26" s="39" t="str">
        <x:f>'05_Analysis'!A31</x:f>
        <x:v>Nov</x:v>
      </x:c>
      <x:c r="B26" s="53" t="n">
        <x:f>'05_Analysis'!B31</x:f>
        <x:v>193557.81</x:v>
      </x:c>
      <x:c r="C26" s="53" t="n">
        <x:f>'05_Analysis'!C31</x:f>
        <x:v>180136.25</x:v>
      </x:c>
      <x:c r="D26" s="53" t="n">
        <x:f>'05_Analysis'!D31</x:f>
        <x:v>-13421.559999999998</x:v>
      </x:c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</x:row>
    <x:row r="27">
      <x:c r="A27" s="39" t="str">
        <x:f>'05_Analysis'!A32</x:f>
        <x:v>Dec</x:v>
      </x:c>
      <x:c r="B27" s="53" t="n">
        <x:f>'05_Analysis'!B32</x:f>
        <x:v>186382.81</x:v>
      </x:c>
      <x:c r="C27" s="53" t="n">
        <x:f>'05_Analysis'!C32</x:f>
        <x:v>186518.79999998843</x:v>
      </x:c>
      <x:c r="D27" s="53" t="n">
        <x:f>'05_Analysis'!D32</x:f>
        <x:v>135.98999999993248</x:v>
      </x:c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</x:row>
    <x:row r="28">
      <x:c r="A28" s="39" t="str">
        <x:f>'05_Analysis'!A33</x:f>
        <x:v>Jan</x:v>
      </x:c>
      <x:c r="B28" s="53" t="n">
        <x:f>'05_Analysis'!B33</x:f>
        <x:v>183117.81</x:v>
      </x:c>
      <x:c r="C28" s="53" t="n">
        <x:f>'05_Analysis'!C33</x:f>
        <x:v>188808.01999998844</x:v>
      </x:c>
      <x:c r="D28" s="53" t="n">
        <x:f>'05_Analysis'!D33</x:f>
        <x:v>5690.209999999963</x:v>
      </x:c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</x:row>
    <x:row r="29">
      <x:c r="A29" s="39" t="str">
        <x:f>'05_Analysis'!A34</x:f>
        <x:v>Feb</x:v>
      </x:c>
      <x:c r="B29" s="53" t="n">
        <x:f>'05_Analysis'!B34</x:f>
        <x:v>192812.81</x:v>
      </x:c>
      <x:c r="C29" s="53" t="n">
        <x:f>'05_Analysis'!C34</x:f>
        <x:v>194401.07999998843</x:v>
      </x:c>
      <x:c r="D29" s="53" t="n">
        <x:f>'05_Analysis'!D34</x:f>
        <x:v>1588.2699999999895</x:v>
      </x:c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</x:row>
    <x:row r="30">
      <x:c r="A30" s="39" t="str">
        <x:f>'05_Analysis'!A35</x:f>
        <x:v>Mar</x:v>
      </x:c>
      <x:c r="B30" s="53" t="n">
        <x:f>'05_Analysis'!B35</x:f>
        <x:v>192317.81</x:v>
      </x:c>
      <x:c r="C30" s="53" t="n">
        <x:f>'05_Analysis'!C35</x:f>
        <x:v>188986.72999998843</x:v>
      </x:c>
      <x:c r="D30" s="53" t="n">
        <x:f>'05_Analysis'!D35</x:f>
        <x:v>-3331.0800000000163</x:v>
      </x:c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</x:row>
    <x:row r="31">
      <x:c r="A31" s="39" t="str">
        <x:f>'05_Analysis'!A36</x:f>
        <x:v>Apr</x:v>
      </x:c>
      <x:c r="B31" s="53" t="n">
        <x:f>'05_Analysis'!B36</x:f>
        <x:v>197357.81</x:v>
      </x:c>
      <x:c r="C31" s="53" t="n">
        <x:f>'05_Analysis'!C36</x:f>
        <x:v>196814.69999998843</x:v>
      </x:c>
      <x:c r="D31" s="53" t="n">
        <x:f>'05_Analysis'!D36</x:f>
        <x:v>-543.1100000000151</x:v>
      </x:c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</x:row>
    <x:row r="32">
      <x:c r="A32" s="39" t="str">
        <x:f>'05_Analysis'!A37</x:f>
        <x:v>May</x:v>
      </x:c>
      <x:c r="B32" s="53" t="n">
        <x:f>'05_Analysis'!B37</x:f>
        <x:v>187847.81</x:v>
      </x:c>
      <x:c r="C32" s="53" t="n">
        <x:f>'05_Analysis'!C37</x:f>
        <x:v>181927.39999998844</x:v>
      </x:c>
      <x:c r="D32" s="53" t="n">
        <x:f>'05_Analysis'!D37</x:f>
        <x:v>-5920.410000000033</x:v>
      </x:c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</x:row>
    <x:row r="33">
      <x:c r="A33" s="39" t="str">
        <x:f>'05_Analysis'!A38</x:f>
        <x:v>Jun</x:v>
      </x:c>
      <x:c r="B33" s="53" t="n">
        <x:f>'05_Analysis'!B38</x:f>
        <x:v>185157.81</x:v>
      </x:c>
      <x:c r="C33" s="53" t="n">
        <x:f>'05_Analysis'!C38</x:f>
        <x:v>183031.53999998842</x:v>
      </x:c>
      <x:c r="D33" s="53" t="n">
        <x:f>'05_Analysis'!D38</x:f>
        <x:v>-2126.2700000000186</x:v>
      </x:c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2ce91d651a4e476b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73" t="str">
        <x:v>Portfolio Story / LinkedIn Positioning</x:v>
      </x:c>
      <x:c r="B1" s="73"/>
      <x:c r="C1" s="73"/>
      <x:c r="D1" s="73"/>
      <x:c r="E1" s="73"/>
      <x:c r="F1" s="70"/>
      <x:c r="G1" s="70"/>
      <x:c r="H1" s="70"/>
      <x:c r="I1" s="70"/>
      <x:c r="J1" s="70"/>
      <x:c r="K1" s="70"/>
      <x:c r="L1" s="70"/>
      <x:c r="M1" s="70"/>
      <x:c r="N1" s="70"/>
      <x:c r="O1" s="70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</x:row>
    <x:row r="3">
      <x:c r="A3" s="42" t="str">
        <x:v>Project Title</x:v>
      </x:c>
      <x:c r="B3" s="43" t="str">
        <x:v>Biomedical Research Budget Analytics: FY2025 Budget vs Actual, Grant Burn Rate &amp; Forecasting</x:v>
      </x:c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>
      <x:c r="A4" s="42" t="str">
        <x:v>One-line summary</x:v>
      </x:c>
      <x:c r="B4" s="43" t="str">
        <x:v>Built an end-to-end research finance analytics project using Excel, SQL-ready data tables, variance analysis, and dashboard reporting.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</x:row>
    <x:row r="5">
      <x:c r="A5" s="42" t="str">
        <x:v>Business question</x:v>
      </x:c>
      <x:c r="B5" s="43" t="str">
        <x:v>Which research cost categories and grants are at risk of overspending, and what actions should finance take?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</x:row>
    <x:row r="6">
      <x:c r="A6" s="42" t="str">
        <x:v>Tools</x:v>
      </x:c>
      <x:c r="B6" s="43" t="str">
        <x:v>Excel financial modeling, SQL schema design, SQL queries, Power BI-ready dataset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</x:row>
    <x:row r="7">
      <x:c r="A7" s="42" t="str">
        <x:v>Key insight 1</x:v>
      </x:c>
      <x:c r="B7" s="43" t="str">
        <x:v>Lab Supplies and Research Computing are trending above budget, requiring near-term reforecasting.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</x:row>
    <x:row r="8">
      <x:c r="A8" s="42" t="str">
        <x:v>Key insight 2</x:v>
      </x:c>
      <x:c r="B8" s="43" t="str">
        <x:v>Travel categories are below budget and can be candidates for reallocation.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</x:row>
    <x:row r="9">
      <x:c r="A9" s="42" t="str">
        <x:v>Key insight 3</x:v>
      </x:c>
      <x:c r="B9" s="43" t="str">
        <x:v>Grant burn rate tracking highlights awards that require PI follow-up before year-end.</x:v>
      </x:c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</x:row>
    <x:row r="10">
      <x:c r="A10" s="42" t="str">
        <x:v>Resume bullet</x:v>
      </x:c>
      <x:c r="B10" s="43" t="str">
        <x:v>Built a simulated biomedical research budget analytics model with SQL-ready fact/dimension tables, grant burn-rate tracking, variance analysis, and executive dashboard reporting.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</x:row>
    <x:row r="11">
      <x:c r="A11" s="42" t="str">
        <x:v>LinkedIn headline support</x:v>
      </x:c>
      <x:c r="B11" s="43" t="str">
        <x:v>Financial Analyst | SQL + Power BI | Budgeting, Variance Analysis &amp; Research Finance</x:v>
      </x:c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</x:row>
  </x:sheetData>
  <x:mergeCells>
    <x:mergeCell ref="A1:E1"/>
  </x:mergeCells>
  <x:pageMargins left="0.7" right="0.7" top="0.75" bottom="0.75" header="0.3" footer="0.3"/>
</x:worksheet>
</file>